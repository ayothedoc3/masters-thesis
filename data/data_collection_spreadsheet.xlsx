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Guide" sheetId="1" state="visible" r:id="rId1"/>
    <sheet xmlns:r="http://schemas.openxmlformats.org/officeDocument/2006/relationships" name="Data Collection" sheetId="2" state="visible" r:id="rId2"/>
    <sheet xmlns:r="http://schemas.openxmlformats.org/officeDocument/2006/relationships" name="Summary Statistics" sheetId="3" state="visible" r:id="rId3"/>
    <sheet xmlns:r="http://schemas.openxmlformats.org/officeDocument/2006/relationships" name="Second Rater"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FFFFFF"/>
      <sz val="11"/>
    </font>
    <font>
      <i val="1"/>
      <color rgb="00808080"/>
    </font>
    <font>
      <name val="Calibri"/>
      <b val="1"/>
      <color rgb="00FFFFFF"/>
      <sz val="16"/>
    </font>
    <font>
      <name val="Calibri"/>
      <b val="1"/>
      <color rgb="00FFFFFF"/>
      <sz val="13"/>
    </font>
    <font>
      <name val="Calibri"/>
      <b val="1"/>
      <sz val="11"/>
    </font>
    <font>
      <name val="Calibri"/>
      <sz val="11"/>
    </font>
    <font>
      <name val="Calibri"/>
      <i val="1"/>
      <color rgb="007F6000"/>
      <sz val="11"/>
    </font>
  </fonts>
  <fills count="10">
    <fill>
      <patternFill/>
    </fill>
    <fill>
      <patternFill patternType="gray125"/>
    </fill>
    <fill>
      <patternFill patternType="solid">
        <fgColor rgb="001F4E79"/>
        <bgColor rgb="001F4E79"/>
      </patternFill>
    </fill>
    <fill>
      <patternFill patternType="solid">
        <fgColor rgb="00D6EAF8"/>
        <bgColor rgb="00D6EAF8"/>
      </patternFill>
    </fill>
    <fill>
      <patternFill patternType="solid">
        <fgColor rgb="00F5B7B1"/>
        <bgColor rgb="00F5B7B1"/>
      </patternFill>
    </fill>
    <fill>
      <patternFill patternType="solid">
        <fgColor rgb="00D5F5E3"/>
        <bgColor rgb="00D5F5E3"/>
      </patternFill>
    </fill>
    <fill>
      <patternFill patternType="solid">
        <fgColor rgb="00E8DAEF"/>
        <bgColor rgb="00E8DAEF"/>
      </patternFill>
    </fill>
    <fill>
      <patternFill patternType="solid">
        <fgColor rgb="00F2F2F2"/>
        <bgColor rgb="00F2F2F2"/>
      </patternFill>
    </fill>
    <fill>
      <patternFill patternType="solid">
        <fgColor rgb="002E75B6"/>
        <bgColor rgb="002E75B6"/>
      </patternFill>
    </fill>
    <fill>
      <patternFill patternType="solid">
        <fgColor rgb="00FFF9C4"/>
        <bgColor rgb="00FFF9C4"/>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0" fillId="3" borderId="2" applyAlignment="1" pivotButton="0" quotePrefix="0" xfId="0">
      <alignment vertical="center"/>
    </xf>
    <xf numFmtId="164" fontId="0" fillId="3" borderId="2" applyAlignment="1" pivotButton="0" quotePrefix="0" xfId="0">
      <alignment vertical="center"/>
    </xf>
    <xf numFmtId="3" fontId="0" fillId="3" borderId="2" applyAlignment="1" pivotButton="0" quotePrefix="0" xfId="0">
      <alignment vertical="center"/>
    </xf>
    <xf numFmtId="0" fontId="0" fillId="4" borderId="2" applyAlignment="1" pivotButton="0" quotePrefix="0" xfId="0">
      <alignment vertical="center"/>
    </xf>
    <xf numFmtId="164" fontId="0" fillId="4" borderId="2" applyAlignment="1" pivotButton="0" quotePrefix="0" xfId="0">
      <alignment vertical="center"/>
    </xf>
    <xf numFmtId="3" fontId="0" fillId="4" borderId="2" applyAlignment="1" pivotButton="0" quotePrefix="0" xfId="0">
      <alignment vertical="center"/>
    </xf>
    <xf numFmtId="0" fontId="0" fillId="5" borderId="2" applyAlignment="1" pivotButton="0" quotePrefix="0" xfId="0">
      <alignment vertical="center"/>
    </xf>
    <xf numFmtId="164" fontId="0" fillId="5" borderId="2" applyAlignment="1" pivotButton="0" quotePrefix="0" xfId="0">
      <alignment vertical="center"/>
    </xf>
    <xf numFmtId="3" fontId="0" fillId="5" borderId="2" applyAlignment="1" pivotButton="0" quotePrefix="0" xfId="0">
      <alignment vertical="center"/>
    </xf>
    <xf numFmtId="0" fontId="0" fillId="6" borderId="2" applyAlignment="1" pivotButton="0" quotePrefix="0" xfId="0">
      <alignment vertical="center"/>
    </xf>
    <xf numFmtId="164" fontId="0" fillId="6" borderId="2" applyAlignment="1" pivotButton="0" quotePrefix="0" xfId="0">
      <alignment vertical="center"/>
    </xf>
    <xf numFmtId="3" fontId="0" fillId="6" borderId="2" applyAlignment="1" pivotButton="0" quotePrefix="0" xfId="0">
      <alignment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2" fillId="0" borderId="0" pivotButton="0" quotePrefix="0" xfId="0"/>
    <xf numFmtId="0" fontId="3" fillId="2" borderId="0" applyAlignment="1" pivotButton="0" quotePrefix="0" xfId="0">
      <alignment horizontal="center" vertical="center" wrapText="1"/>
    </xf>
    <xf numFmtId="0" fontId="4" fillId="8" borderId="0" applyAlignment="1" pivotButton="0" quotePrefix="0" xfId="0">
      <alignment vertical="center"/>
    </xf>
    <xf numFmtId="0" fontId="5" fillId="0" borderId="0"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top" wrapText="1"/>
    </xf>
    <xf numFmtId="0" fontId="0" fillId="3" borderId="0" pivotButton="0" quotePrefix="0" xfId="0"/>
    <xf numFmtId="0" fontId="6" fillId="9" borderId="0" applyAlignment="1" pivotButton="0" quotePrefix="0" xfId="0">
      <alignment vertical="top" wrapText="1"/>
    </xf>
    <xf numFmtId="0" fontId="0" fillId="9" borderId="0" pivotButton="0" quotePrefix="0" xfId="0"/>
    <xf numFmtId="0" fontId="7" fillId="9" borderId="0" applyAlignment="1" pivotButton="0" quotePrefix="0" xfId="0">
      <alignment vertical="top" wrapText="1"/>
    </xf>
  </cellXfs>
  <cellStyles count="1">
    <cellStyle name="Normal" xfId="0" builtinId="0" hidden="0"/>
  </cellStyles>
  <dxfs count="5">
    <dxf>
      <font>
        <b val="1"/>
        <color rgb="00FFFFFF"/>
      </font>
      <fill>
        <patternFill patternType="solid">
          <fgColor rgb="00FF0000"/>
          <bgColor rgb="00FF0000"/>
        </patternFill>
      </fill>
    </dxf>
    <dxf>
      <font>
        <b val="1"/>
        <color rgb="00FFFFFF"/>
      </font>
      <fill>
        <patternFill patternType="solid">
          <fgColor rgb="00FF8C00"/>
          <bgColor rgb="00FF8C00"/>
        </patternFill>
      </fill>
    </dxf>
    <dxf>
      <font>
        <b val="1"/>
      </font>
      <fill>
        <patternFill patternType="solid">
          <fgColor rgb="00FFD700"/>
          <bgColor rgb="00FFD700"/>
        </patternFill>
      </fill>
    </dxf>
    <dxf>
      <font>
        <b val="1"/>
      </font>
      <fill>
        <patternFill patternType="solid">
          <fgColor rgb="0090EE90"/>
          <bgColor rgb="0090EE90"/>
        </patternFill>
      </fill>
    </dxf>
    <dxf>
      <font>
        <b val="1"/>
        <color rgb="00FFFFFF"/>
      </font>
      <fill>
        <patternFill patternType="solid">
          <fgColor rgb="00228B22"/>
          <bgColor rgb="00228B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cols>
    <col width="4" customWidth="1" min="1" max="1"/>
    <col width="85" customWidth="1" min="2" max="2"/>
  </cols>
  <sheetData>
    <row r="1" ht="40" customHeight="1">
      <c r="A1" s="20" t="inlineStr">
        <is>
          <t>SCORING GUIDE — Manual Assessment Phase</t>
        </is>
      </c>
    </row>
    <row r="2" ht="8" customHeight="1"/>
    <row r="3" ht="30" customHeight="1">
      <c r="A3" s="21" t="inlineStr">
        <is>
          <t>SETUP (do once before starting)</t>
        </is>
      </c>
    </row>
    <row r="4">
      <c r="A4" s="22" t="inlineStr">
        <is>
          <t>1. Keep this spreadsheet open — score directly in the 'Data Collection' tab</t>
        </is>
      </c>
    </row>
    <row r="5">
      <c r="A5" s="23" t="inlineStr">
        <is>
          <t>2. Open the DISCERN quick reference card:  scoring-guides/discern_quick_reference.md</t>
        </is>
      </c>
    </row>
    <row r="6">
      <c r="A6" s="23" t="inlineStr">
        <is>
          <t>3. Have the screenshots folder open for quick visual reference:  data/screenshots/</t>
        </is>
      </c>
    </row>
    <row r="7">
      <c r="A7" s="23" t="inlineStr">
        <is>
          <t>4. Save frequently as you work (Ctrl+S)</t>
        </is>
      </c>
    </row>
    <row r="8" ht="8" customHeight="1"/>
    <row r="9" ht="30" customHeight="1">
      <c r="A9" s="21" t="inlineStr">
        <is>
          <t>PER-ITEM WORKFLOW (repeat for each of the 200 rows)</t>
        </is>
      </c>
    </row>
    <row r="10" ht="8" customHeight="1"/>
    <row r="11">
      <c r="A11" s="24" t="inlineStr">
        <is>
          <t>STEP 1 — Open the content</t>
        </is>
      </c>
      <c r="B11" s="25" t="n"/>
    </row>
    <row r="12">
      <c r="A12" s="23" t="inlineStr">
        <is>
          <t xml:space="preserve">  Click the URL in column D to open the content in your browser</t>
        </is>
      </c>
    </row>
    <row r="13">
      <c r="A13" s="23" t="inlineStr">
        <is>
          <t xml:space="preserve">  Websites: read the full article</t>
        </is>
      </c>
    </row>
    <row r="14">
      <c r="A14" s="23" t="inlineStr">
        <is>
          <t xml:space="preserve">  YouTube: watch the video (at least skim key sections)</t>
        </is>
      </c>
    </row>
    <row r="15">
      <c r="A15" s="23" t="inlineStr">
        <is>
          <t xml:space="preserve">  TikTok / Instagram: watch the video or read caption + visuals</t>
        </is>
      </c>
    </row>
    <row r="16" ht="8" customHeight="1"/>
    <row r="17">
      <c r="A17" s="24" t="inlineStr">
        <is>
          <t>STEP 2 — Fill metadata columns G, M, N</t>
        </is>
      </c>
      <c r="B17" s="25" t="n"/>
    </row>
    <row r="18">
      <c r="A18" s="23" t="inlineStr">
        <is>
          <t xml:space="preserve">  Column G (Creator_Credentials): Check their bio/about page for qualifications</t>
        </is>
      </c>
    </row>
    <row r="19">
      <c r="A19" s="23" t="inlineStr">
        <is>
          <t xml:space="preserve">     Examples: "MD", "NASM-CPT", "PhD in Exercise Science", "RN"</t>
        </is>
      </c>
    </row>
    <row r="20">
      <c r="A20" s="23" t="inlineStr">
        <is>
          <t xml:space="preserve">  Column M (Creator_Type): Select from dropdown:</t>
        </is>
      </c>
    </row>
    <row r="21">
      <c r="A21" s="23" t="inlineStr">
        <is>
          <t xml:space="preserve">     - Healthcare professional  (doctor, nurse, physiotherapist)</t>
        </is>
      </c>
    </row>
    <row r="22">
      <c r="A22" s="23" t="inlineStr">
        <is>
          <t xml:space="preserve">     - Certified fitness professional  (personal trainer, CSCS, NASM-CPT)</t>
        </is>
      </c>
    </row>
    <row r="23">
      <c r="A23" s="23" t="inlineStr">
        <is>
          <t xml:space="preserve">     - Fitness influencer  (large following, no formal credentials)</t>
        </is>
      </c>
    </row>
    <row r="24">
      <c r="A24" s="23" t="inlineStr">
        <is>
          <t xml:space="preserve">     - General user  (regular person sharing personal experience)</t>
        </is>
      </c>
    </row>
    <row r="25">
      <c r="A25" s="23" t="inlineStr">
        <is>
          <t xml:space="preserve">     - Organization  (CDC, NHS, WHO, Mayo Clinic, gym chain)</t>
        </is>
      </c>
    </row>
    <row r="26">
      <c r="A26" s="23" t="inlineStr">
        <is>
          <t xml:space="preserve">  Column N (Content_Format): Verify/correct the pre-filled value</t>
        </is>
      </c>
    </row>
    <row r="27" ht="8" customHeight="1"/>
    <row r="28">
      <c r="A28" s="24" t="inlineStr">
        <is>
          <t>STEP 3 — Score DISCERN Q1-Q16  (columns O through AD)</t>
        </is>
      </c>
      <c r="B28" s="25" t="n"/>
    </row>
    <row r="29">
      <c r="A29" s="23" t="inlineStr">
        <is>
          <t xml:space="preserve">  Rate each question from 1 (definite No) to 5 (definite Yes)</t>
        </is>
      </c>
    </row>
    <row r="30">
      <c r="A30" s="23" t="inlineStr">
        <is>
          <t xml:space="preserve">  For PA content, "treatment" = the exercise or physical activity being recommended</t>
        </is>
      </c>
    </row>
    <row r="31" ht="8" customHeight="1"/>
    <row r="32">
      <c r="A32" s="22" t="inlineStr">
        <is>
          <t xml:space="preserve">  Q1   Are the aims of the publication clear?</t>
        </is>
      </c>
    </row>
    <row r="33">
      <c r="A33" s="22" t="inlineStr">
        <is>
          <t xml:space="preserve">  Q2   Does it achieve its aims?</t>
        </is>
      </c>
    </row>
    <row r="34">
      <c r="A34" s="22" t="inlineStr">
        <is>
          <t xml:space="preserve">  Q3   Is it relevant to the reader?</t>
        </is>
      </c>
    </row>
    <row r="35">
      <c r="A35" s="22" t="inlineStr">
        <is>
          <t xml:space="preserve">  Q4   Are the sources of information clear? (references, citations)</t>
        </is>
      </c>
    </row>
    <row r="36">
      <c r="A36" s="22" t="inlineStr">
        <is>
          <t xml:space="preserve">  Q5   Is the information current / is it dated?</t>
        </is>
      </c>
    </row>
    <row r="37">
      <c r="A37" s="22" t="inlineStr">
        <is>
          <t xml:space="preserve">  Q6   Is it balanced and unbiased?</t>
        </is>
      </c>
    </row>
    <row r="38">
      <c r="A38" s="22" t="inlineStr">
        <is>
          <t xml:space="preserve">  Q7   Does it list additional sources of support / further reading?</t>
        </is>
      </c>
    </row>
    <row r="39">
      <c r="A39" s="22" t="inlineStr">
        <is>
          <t xml:space="preserve">  Q8   Does it mention areas of uncertainty?</t>
        </is>
      </c>
    </row>
    <row r="40">
      <c r="A40" s="22" t="inlineStr">
        <is>
          <t xml:space="preserve">  Q9   Does it describe how treatments/exercises work?</t>
        </is>
      </c>
    </row>
    <row r="41">
      <c r="A41" s="22" t="inlineStr">
        <is>
          <t xml:space="preserve">  Q10  Does it describe the benefits of the treatment/exercise?</t>
        </is>
      </c>
    </row>
    <row r="42">
      <c r="A42" s="22" t="inlineStr">
        <is>
          <t xml:space="preserve">  Q11  Does it describe the risks of the treatment/exercise?</t>
        </is>
      </c>
    </row>
    <row r="43">
      <c r="A43" s="22" t="inlineStr">
        <is>
          <t xml:space="preserve">  Q12  Does it describe what happens with no treatment / no exercise?</t>
        </is>
      </c>
    </row>
    <row r="44">
      <c r="A44" s="22" t="inlineStr">
        <is>
          <t xml:space="preserve">  Q13  Does it describe effects on quality of life?</t>
        </is>
      </c>
    </row>
    <row r="45">
      <c r="A45" s="22" t="inlineStr">
        <is>
          <t xml:space="preserve">  Q14  Does it make clear there may be more than one option?</t>
        </is>
      </c>
    </row>
    <row r="46">
      <c r="A46" s="22" t="inlineStr">
        <is>
          <t xml:space="preserve">  Q15  Does it support shared decision-making?</t>
        </is>
      </c>
    </row>
    <row r="47">
      <c r="A47" s="22" t="inlineStr">
        <is>
          <t xml:space="preserve">  Q16  Overall quality rating (your overall judgment of the publication)</t>
        </is>
      </c>
    </row>
    <row r="48" ht="8" customHeight="1"/>
    <row r="49">
      <c r="A49" s="26" t="inlineStr">
        <is>
          <t xml:space="preserve">  Scoring guide:  1 = Definite No  |  2 = Mostly No  |  3 = Partially  |  4 = Mostly Yes  |  5 = Definite Yes</t>
        </is>
      </c>
      <c r="B49" s="27" t="n"/>
    </row>
    <row r="50" ht="8" customHeight="1"/>
    <row r="51">
      <c r="A51" s="24" t="inlineStr">
        <is>
          <t>STEP 4 — Score JAMA Benchmarks  (columns AI through AL)</t>
        </is>
      </c>
      <c r="B51" s="25" t="n"/>
    </row>
    <row r="52">
      <c r="A52" s="23" t="inlineStr">
        <is>
          <t xml:space="preserve">  Mark Y (Yes) or N (No) for each criterion:</t>
        </is>
      </c>
    </row>
    <row r="53" ht="8" customHeight="1"/>
    <row r="54">
      <c r="A54" s="22" t="inlineStr">
        <is>
          <t xml:space="preserve">  AI: Authorship — Are the author(s) and their credentials clearly identified?</t>
        </is>
      </c>
    </row>
    <row r="55">
      <c r="A55" s="23" t="inlineStr">
        <is>
          <t xml:space="preserve">     Social media: Bio states credentials OR verified professional account = Y</t>
        </is>
      </c>
    </row>
    <row r="56">
      <c r="A56" s="22" t="inlineStr">
        <is>
          <t xml:space="preserve">  AJ: Attribution — Are references or sources cited?</t>
        </is>
      </c>
    </row>
    <row r="57">
      <c r="A57" s="23" t="inlineStr">
        <is>
          <t xml:space="preserve">     Social media: Cites studies/sources in caption OR shows references on screen = Y</t>
        </is>
      </c>
    </row>
    <row r="58">
      <c r="A58" s="22" t="inlineStr">
        <is>
          <t xml:space="preserve">  AK: Disclosure — Are sponsorships or conflicts of interest declared?</t>
        </is>
      </c>
    </row>
    <row r="59">
      <c r="A59" s="23" t="inlineStr">
        <is>
          <t xml:space="preserve">     Social media: States sponsorships/partnerships OR uses #ad tags = Y</t>
        </is>
      </c>
    </row>
    <row r="60">
      <c r="A60" s="22" t="inlineStr">
        <is>
          <t xml:space="preserve">  AL: Currency — Is a date of creation or update provided?</t>
        </is>
      </c>
    </row>
    <row r="61">
      <c r="A61" s="23" t="inlineStr">
        <is>
          <t xml:space="preserve">     Social media: Post date is always visible = almost always Y</t>
        </is>
      </c>
    </row>
    <row r="62" ht="8" customHeight="1"/>
    <row r="63">
      <c r="A63" s="24" t="inlineStr">
        <is>
          <t>STEP 5 — Notes (column AN)</t>
        </is>
      </c>
      <c r="B63" s="25" t="n"/>
    </row>
    <row r="64">
      <c r="A64" s="23" t="inlineStr">
        <is>
          <t xml:space="preserve">  Add any notes about the content, especially if you were unsure about a score</t>
        </is>
      </c>
    </row>
    <row r="65">
      <c r="A65" s="23" t="inlineStr">
        <is>
          <t xml:space="preserve">  Move to the next row and repeat</t>
        </is>
      </c>
    </row>
    <row r="66" ht="8" customHeight="1"/>
    <row r="67" ht="30" customHeight="1">
      <c r="A67" s="21" t="inlineStr">
        <is>
          <t>AUTO-CALCULATED COLUMNS (do NOT edit these)</t>
        </is>
      </c>
    </row>
    <row r="68">
      <c r="A68" s="23" t="inlineStr">
        <is>
          <t xml:space="preserve">  AE: DISCERN Section 1 subtotal  =  SUM(Q1 through Q8)</t>
        </is>
      </c>
    </row>
    <row r="69">
      <c r="A69" s="23" t="inlineStr">
        <is>
          <t xml:space="preserve">  AF: DISCERN Section 2 subtotal  =  SUM(Q9 through Q15)</t>
        </is>
      </c>
    </row>
    <row r="70">
      <c r="A70" s="23" t="inlineStr">
        <is>
          <t xml:space="preserve">  AG: DISCERN Total  =  SUM(Q1 through Q16)</t>
        </is>
      </c>
    </row>
    <row r="71">
      <c r="A71" s="23" t="inlineStr">
        <is>
          <t xml:space="preserve">  AH: DISCERN Category  (Very Poor / Poor / Fair / Good / Excellent)</t>
        </is>
      </c>
    </row>
    <row r="72">
      <c r="A72" s="23" t="inlineStr">
        <is>
          <t xml:space="preserve">  AM: JAMA Total  =  count of Y values in AI through AL  (0 to 4)</t>
        </is>
      </c>
    </row>
    <row r="73" ht="8" customHeight="1"/>
    <row r="74">
      <c r="A74" s="26" t="inlineStr">
        <is>
          <t xml:space="preserve">  DISCERN Interpretation:  16-26 Very Poor  |  27-38 Poor  |  39-50 Fair  |  51-62 Good  |  63-80 Excellent</t>
        </is>
      </c>
      <c r="B74" s="27" t="n"/>
    </row>
    <row r="75" ht="8" customHeight="1"/>
    <row r="76" ht="30" customHeight="1">
      <c r="A76" s="21" t="inlineStr">
        <is>
          <t>RECOMMENDED BATCHING STRATEGY</t>
        </is>
      </c>
    </row>
    <row r="77">
      <c r="A77" s="22" t="inlineStr">
        <is>
          <t xml:space="preserve">  Batch 1:  WEB-01 to WEB-50   (websites)       ~2-3 hours   — fastest, start here</t>
        </is>
      </c>
    </row>
    <row r="78">
      <c r="A78" s="23" t="inlineStr">
        <is>
          <t xml:space="preserve">  Batch 2:  YT-01  to YT-50    (YouTube)        ~3-4 hours   — need to watch videos</t>
        </is>
      </c>
    </row>
    <row r="79">
      <c r="A79" s="23" t="inlineStr">
        <is>
          <t xml:space="preserve">  Batch 3:  TT-01  to TT-50    (TikTok)         ~1.5-2 hours — short videos</t>
        </is>
      </c>
    </row>
    <row r="80">
      <c r="A80" s="23" t="inlineStr">
        <is>
          <t xml:space="preserve">  Batch 4:  IG-01  to IG-50    (Instagram)      ~1.5-2 hours — short content</t>
        </is>
      </c>
    </row>
    <row r="81" ht="8" customHeight="1"/>
    <row r="82">
      <c r="A82" s="22" t="inlineStr">
        <is>
          <t xml:space="preserve">  Total estimated time: 8-11 hours of focused work</t>
        </is>
      </c>
    </row>
    <row r="83" ht="8" customHeight="1"/>
    <row r="84" ht="30" customHeight="1">
      <c r="A84" s="21" t="inlineStr">
        <is>
          <t>INTER-RATER RELIABILITY</t>
        </is>
      </c>
    </row>
    <row r="85">
      <c r="A85" s="23" t="inlineStr">
        <is>
          <t xml:space="preserve">  After you finish all 200 items, give the 'Second Rater' sheet to your second rater</t>
        </is>
      </c>
    </row>
    <row r="86">
      <c r="A86" s="23" t="inlineStr">
        <is>
          <t xml:space="preserve">  They score the same 40 items (10 per platform) independently</t>
        </is>
      </c>
    </row>
    <row r="87">
      <c r="A87" s="23" t="inlineStr">
        <is>
          <t xml:space="preserve">  Do NOT show them your scores beforehand</t>
        </is>
      </c>
    </row>
    <row r="88">
      <c r="A88" s="23" t="inlineStr">
        <is>
          <t xml:space="preserve">  Target: ICC &gt;= 0.75 for DISCERN, Cohen's kappa &gt;= 0.61 for JAMA</t>
        </is>
      </c>
    </row>
    <row r="89" ht="8" customHeight="1"/>
    <row r="90" ht="30" customHeight="1">
      <c r="A90" s="21" t="inlineStr">
        <is>
          <t>TIPS FOR CONSISTENT SCORING</t>
        </is>
      </c>
    </row>
    <row r="91">
      <c r="A91" s="28" t="inlineStr">
        <is>
          <t xml:space="preserve">  Score one full platform before moving to the next (builds consistency)</t>
        </is>
      </c>
      <c r="B91" s="27" t="n"/>
    </row>
    <row r="92">
      <c r="A92" s="28" t="inlineStr">
        <is>
          <t xml:space="preserve">  Take breaks between batches — scoring fatigue affects quality</t>
        </is>
      </c>
      <c r="B92" s="27" t="n"/>
    </row>
    <row r="93">
      <c r="A93" s="28" t="inlineStr">
        <is>
          <t xml:space="preserve">  If unsure on a score, write a note in column AN and come back later</t>
        </is>
      </c>
      <c r="B93" s="27" t="n"/>
    </row>
    <row r="94">
      <c r="A94" s="28" t="inlineStr">
        <is>
          <t xml:space="preserve">  When in doubt, default to 3 (Partially) rather than guessing high or low</t>
        </is>
      </c>
      <c r="B94" s="27" t="n"/>
    </row>
    <row r="95">
      <c r="A95" s="28" t="inlineStr">
        <is>
          <t xml:space="preserve">  Re-read the DISCERN quick reference card before each new batch</t>
        </is>
      </c>
      <c r="B95" s="27" t="n"/>
    </row>
    <row r="96" ht="8" customHeight="1"/>
    <row r="97" ht="30" customHeight="1">
      <c r="A97" s="21" t="inlineStr">
        <is>
          <t>AFTER SCORING IS COMPLETE</t>
        </is>
      </c>
    </row>
    <row r="98">
      <c r="A98" s="23" t="inlineStr">
        <is>
          <t xml:space="preserve">  1. Save the spreadsheet</t>
        </is>
      </c>
    </row>
    <row r="99">
      <c r="A99" s="23" t="inlineStr">
        <is>
          <t xml:space="preserve">  2. Export 'Data Collection' sheet as CSV (for R analysis)</t>
        </is>
      </c>
    </row>
    <row r="100">
      <c r="A100" s="23" t="inlineStr">
        <is>
          <t xml:space="preserve">  3. Run the R analysis script:  analysis/analysis_script.R</t>
        </is>
      </c>
    </row>
    <row r="101">
      <c r="A101" s="23" t="inlineStr">
        <is>
          <t xml:space="preserve">  4. The R script will generate all statistics, figures, and tables for Chapter 3</t>
        </is>
      </c>
    </row>
    <row r="102" ht="8" customHeight="1"/>
    <row r="103">
      <c r="A103" s="22" t="inlineStr">
        <is>
          <t xml:space="preserve">  When you're done scoring, come back to Claude and say 'run the analysis'</t>
        </is>
      </c>
    </row>
  </sheetData>
  <mergeCells count="85">
    <mergeCell ref="A15:B15"/>
    <mergeCell ref="A64:B64"/>
    <mergeCell ref="A98:B98"/>
    <mergeCell ref="A51:B51"/>
    <mergeCell ref="A88:B88"/>
    <mergeCell ref="A70:B70"/>
    <mergeCell ref="A54:B54"/>
    <mergeCell ref="A7:B7"/>
    <mergeCell ref="A41:B41"/>
    <mergeCell ref="A90:B90"/>
    <mergeCell ref="A99:B99"/>
    <mergeCell ref="A74:B74"/>
    <mergeCell ref="A56:B56"/>
    <mergeCell ref="A101:B101"/>
    <mergeCell ref="A76:B76"/>
    <mergeCell ref="A33:B33"/>
    <mergeCell ref="A85:B85"/>
    <mergeCell ref="A42:B42"/>
    <mergeCell ref="A17:B17"/>
    <mergeCell ref="A22:B22"/>
    <mergeCell ref="A35:B35"/>
    <mergeCell ref="A19:B19"/>
    <mergeCell ref="A68:B68"/>
    <mergeCell ref="A28:B28"/>
    <mergeCell ref="A9:B9"/>
    <mergeCell ref="A39:B39"/>
    <mergeCell ref="A30:B30"/>
    <mergeCell ref="A59:B59"/>
    <mergeCell ref="A11:B11"/>
    <mergeCell ref="A45:B45"/>
    <mergeCell ref="A103:B103"/>
    <mergeCell ref="A79:B79"/>
    <mergeCell ref="A61:B61"/>
    <mergeCell ref="A87:B87"/>
    <mergeCell ref="A37:B37"/>
    <mergeCell ref="A46:B46"/>
    <mergeCell ref="A26:B26"/>
    <mergeCell ref="A71:B71"/>
    <mergeCell ref="A91:B91"/>
    <mergeCell ref="A100:B100"/>
    <mergeCell ref="A52:B52"/>
    <mergeCell ref="A63:B63"/>
    <mergeCell ref="A93:B93"/>
    <mergeCell ref="A77:B77"/>
    <mergeCell ref="A34:B34"/>
    <mergeCell ref="A92:B92"/>
    <mergeCell ref="A49:B49"/>
    <mergeCell ref="A36:B36"/>
    <mergeCell ref="A1:B1"/>
    <mergeCell ref="A94:B94"/>
    <mergeCell ref="A69:B69"/>
    <mergeCell ref="A78:B78"/>
    <mergeCell ref="A65:B65"/>
    <mergeCell ref="A80:B80"/>
    <mergeCell ref="A3:B3"/>
    <mergeCell ref="A55:B55"/>
    <mergeCell ref="A12:B12"/>
    <mergeCell ref="A21:B21"/>
    <mergeCell ref="A57:B57"/>
    <mergeCell ref="A5:B5"/>
    <mergeCell ref="A32:B32"/>
    <mergeCell ref="A14:B14"/>
    <mergeCell ref="A23:B23"/>
    <mergeCell ref="A4:B4"/>
    <mergeCell ref="A38:B38"/>
    <mergeCell ref="A43:B43"/>
    <mergeCell ref="A40:B40"/>
    <mergeCell ref="A67:B67"/>
    <mergeCell ref="A24:B24"/>
    <mergeCell ref="A82:B82"/>
    <mergeCell ref="A60:B60"/>
    <mergeCell ref="A6:B6"/>
    <mergeCell ref="A25:B25"/>
    <mergeCell ref="A84:B84"/>
    <mergeCell ref="A18:B18"/>
    <mergeCell ref="A86:B86"/>
    <mergeCell ref="A95:B95"/>
    <mergeCell ref="A47:B47"/>
    <mergeCell ref="A97:B97"/>
    <mergeCell ref="A20:B20"/>
    <mergeCell ref="A72:B72"/>
    <mergeCell ref="A29:B29"/>
    <mergeCell ref="A13:B13"/>
    <mergeCell ref="A44:B44"/>
    <mergeCell ref="A58:B58"/>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N20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2" customWidth="1" min="3" max="3"/>
    <col width="45" customWidth="1" min="4" max="4"/>
    <col width="30" customWidth="1" min="5" max="5"/>
    <col width="18" customWidth="1" min="6" max="6"/>
    <col width="22" customWidth="1" min="7" max="7"/>
    <col width="14" customWidth="1" min="8" max="8"/>
    <col width="12" customWidth="1" min="9" max="9"/>
    <col width="12" customWidth="1" min="10" max="10"/>
    <col width="12" customWidth="1" min="11" max="11"/>
    <col width="12" customWidth="1" min="12" max="12"/>
    <col width="28" customWidth="1" min="13" max="13"/>
    <col width="2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6" customWidth="1" min="31" max="31"/>
    <col width="16" customWidth="1" min="32" max="32"/>
    <col width="14" customWidth="1" min="33" max="33"/>
    <col width="18" customWidth="1" min="34" max="34"/>
    <col width="16" customWidth="1" min="35" max="35"/>
    <col width="16" customWidth="1" min="36" max="36"/>
    <col width="16" customWidth="1" min="37" max="37"/>
    <col width="15" customWidth="1" min="38" max="38"/>
    <col width="12" customWidth="1" min="39" max="39"/>
    <col width="35" customWidth="1" min="40" max="40"/>
  </cols>
  <sheetData>
    <row r="1" ht="35" customHeight="1">
      <c r="A1" s="1" t="inlineStr">
        <is>
          <t>Item_ID</t>
        </is>
      </c>
      <c r="B1" s="1" t="inlineStr">
        <is>
          <t>Platform</t>
        </is>
      </c>
      <c r="C1" s="1" t="inlineStr">
        <is>
          <t>Search_Term</t>
        </is>
      </c>
      <c r="D1" s="1" t="inlineStr">
        <is>
          <t>URL</t>
        </is>
      </c>
      <c r="E1" s="1" t="inlineStr">
        <is>
          <t>Title_Caption</t>
        </is>
      </c>
      <c r="F1" s="1" t="inlineStr">
        <is>
          <t>Creator_Name</t>
        </is>
      </c>
      <c r="G1" s="1" t="inlineStr">
        <is>
          <t>Creator_Credentials</t>
        </is>
      </c>
      <c r="H1" s="1" t="inlineStr">
        <is>
          <t>Date_Posted</t>
        </is>
      </c>
      <c r="I1" s="1" t="inlineStr">
        <is>
          <t>Views</t>
        </is>
      </c>
      <c r="J1" s="1" t="inlineStr">
        <is>
          <t>Likes</t>
        </is>
      </c>
      <c r="K1" s="1" t="inlineStr">
        <is>
          <t>Shares</t>
        </is>
      </c>
      <c r="L1" s="1" t="inlineStr">
        <is>
          <t>Comments</t>
        </is>
      </c>
      <c r="M1" s="1" t="inlineStr">
        <is>
          <t>Creator_Type</t>
        </is>
      </c>
      <c r="N1" s="1" t="inlineStr">
        <is>
          <t>Content_Format</t>
        </is>
      </c>
      <c r="O1" s="1" t="inlineStr">
        <is>
          <t>DISCERN_Q1</t>
        </is>
      </c>
      <c r="P1" s="1" t="inlineStr">
        <is>
          <t>DISCERN_Q2</t>
        </is>
      </c>
      <c r="Q1" s="1" t="inlineStr">
        <is>
          <t>DISCERN_Q3</t>
        </is>
      </c>
      <c r="R1" s="1" t="inlineStr">
        <is>
          <t>DISCERN_Q4</t>
        </is>
      </c>
      <c r="S1" s="1" t="inlineStr">
        <is>
          <t>DISCERN_Q5</t>
        </is>
      </c>
      <c r="T1" s="1" t="inlineStr">
        <is>
          <t>DISCERN_Q6</t>
        </is>
      </c>
      <c r="U1" s="1" t="inlineStr">
        <is>
          <t>DISCERN_Q7</t>
        </is>
      </c>
      <c r="V1" s="1" t="inlineStr">
        <is>
          <t>DISCERN_Q8</t>
        </is>
      </c>
      <c r="W1" s="1" t="inlineStr">
        <is>
          <t>DISCERN_Q9</t>
        </is>
      </c>
      <c r="X1" s="1" t="inlineStr">
        <is>
          <t>DISCERN_Q10</t>
        </is>
      </c>
      <c r="Y1" s="1" t="inlineStr">
        <is>
          <t>DISCERN_Q11</t>
        </is>
      </c>
      <c r="Z1" s="1" t="inlineStr">
        <is>
          <t>DISCERN_Q12</t>
        </is>
      </c>
      <c r="AA1" s="1" t="inlineStr">
        <is>
          <t>DISCERN_Q13</t>
        </is>
      </c>
      <c r="AB1" s="1" t="inlineStr">
        <is>
          <t>DISCERN_Q14</t>
        </is>
      </c>
      <c r="AC1" s="1" t="inlineStr">
        <is>
          <t>DISCERN_Q15</t>
        </is>
      </c>
      <c r="AD1" s="1" t="inlineStr">
        <is>
          <t>DISCERN_Q16</t>
        </is>
      </c>
      <c r="AE1" s="1" t="inlineStr">
        <is>
          <t>DISCERN_Section1</t>
        </is>
      </c>
      <c r="AF1" s="1" t="inlineStr">
        <is>
          <t>DISCERN_Section2</t>
        </is>
      </c>
      <c r="AG1" s="1" t="inlineStr">
        <is>
          <t>DISCERN_Total</t>
        </is>
      </c>
      <c r="AH1" s="1" t="inlineStr">
        <is>
          <t>DISCERN_Category</t>
        </is>
      </c>
      <c r="AI1" s="1" t="inlineStr">
        <is>
          <t>JAMA_Authorship</t>
        </is>
      </c>
      <c r="AJ1" s="1" t="inlineStr">
        <is>
          <t>JAMA_Attribution</t>
        </is>
      </c>
      <c r="AK1" s="1" t="inlineStr">
        <is>
          <t>JAMA_Disclosure</t>
        </is>
      </c>
      <c r="AL1" s="1" t="inlineStr">
        <is>
          <t>JAMA_Currency</t>
        </is>
      </c>
      <c r="AM1" s="1" t="inlineStr">
        <is>
          <t>JAMA_Total</t>
        </is>
      </c>
      <c r="AN1" s="1" t="inlineStr">
        <is>
          <t>Notes</t>
        </is>
      </c>
    </row>
    <row r="2">
      <c r="A2" s="2" t="inlineStr">
        <is>
          <t>WEB-01</t>
        </is>
      </c>
      <c r="B2" s="2" t="inlineStr">
        <is>
          <t>Website</t>
        </is>
      </c>
      <c r="C2" s="2" t="inlineStr">
        <is>
          <t>how to start exercising</t>
        </is>
      </c>
      <c r="D2" s="2" t="inlineStr">
        <is>
          <t>https://www.mayoclinic.org/healthy-lifestyle/fitness/in-depth/fitness/art-20048269</t>
        </is>
      </c>
      <c r="E2" s="2" t="inlineStr">
        <is>
          <t>Fitness program: 5 steps to get started</t>
        </is>
      </c>
      <c r="F2" s="2" t="inlineStr">
        <is>
          <t>https://www.mayoclinic.org › Healthy Lifestyle › Fitness</t>
        </is>
      </c>
      <c r="G2" s="2" t="n"/>
      <c r="H2" s="3" t="n"/>
      <c r="I2" s="4" t="n"/>
      <c r="J2" s="4" t="n"/>
      <c r="K2" s="4" t="n"/>
      <c r="L2" s="4" t="n"/>
      <c r="M2" s="2" t="n"/>
      <c r="N2" s="2" t="n"/>
      <c r="O2" s="2" t="n"/>
      <c r="P2" s="2" t="n"/>
      <c r="Q2" s="2" t="n"/>
      <c r="R2" s="2" t="n"/>
      <c r="S2" s="2" t="n"/>
      <c r="T2" s="2" t="n"/>
      <c r="U2" s="2" t="n"/>
      <c r="V2" s="2" t="n"/>
      <c r="W2" s="2" t="n"/>
      <c r="X2" s="2" t="n"/>
      <c r="Y2" s="2" t="n"/>
      <c r="Z2" s="2" t="n"/>
      <c r="AA2" s="2" t="n"/>
      <c r="AB2" s="2" t="n"/>
      <c r="AC2" s="2" t="n"/>
      <c r="AD2" s="2" t="n"/>
      <c r="AE2" s="4">
        <f>SUM(O2:V2)</f>
        <v/>
      </c>
      <c r="AF2" s="4">
        <f>SUM(W2:AC2)</f>
        <v/>
      </c>
      <c r="AG2" s="4">
        <f>SUM(O2:AD2)</f>
        <v/>
      </c>
      <c r="AH2" s="2">
        <f>IF(AG2="","",IF(AG2&lt;=26,"Very Poor",IF(AG2&lt;=38,"Poor",IF(AG2&lt;=50,"Fair",IF(AG2&lt;=62,"Good","Excellent")))))</f>
        <v/>
      </c>
      <c r="AI2" s="2" t="n"/>
      <c r="AJ2" s="2" t="n"/>
      <c r="AK2" s="2" t="n"/>
      <c r="AL2" s="2" t="n"/>
      <c r="AM2" s="4">
        <f>COUNTIF(AI2:AL2,"Y")</f>
        <v/>
      </c>
      <c r="AN2" s="2" t="n"/>
    </row>
    <row r="3">
      <c r="A3" s="2" t="inlineStr">
        <is>
          <t>WEB-02</t>
        </is>
      </c>
      <c r="B3" s="2" t="inlineStr">
        <is>
          <t>Website</t>
        </is>
      </c>
      <c r="C3" s="2" t="inlineStr">
        <is>
          <t>how to start exercising</t>
        </is>
      </c>
      <c r="D3" s="2" t="inlineStr">
        <is>
          <t>https://www.reddit.com/r/selfimprovement/comments/x7jgkr/how_the_hell_does_one_start_exercising/</t>
        </is>
      </c>
      <c r="E3" s="2" t="inlineStr">
        <is>
          <t>How the hell does one start “exercising”? : r/selfimprovement</t>
        </is>
      </c>
      <c r="F3" s="2" t="inlineStr">
        <is>
          <t>Reddit › r/selfimprovement</t>
        </is>
      </c>
      <c r="G3" s="2" t="n"/>
      <c r="H3" s="3" t="n"/>
      <c r="I3" s="4" t="n"/>
      <c r="J3" s="4" t="n"/>
      <c r="K3" s="4" t="n"/>
      <c r="L3" s="4" t="n"/>
      <c r="M3" s="2" t="n"/>
      <c r="N3" s="2" t="n"/>
      <c r="O3" s="2" t="n"/>
      <c r="P3" s="2" t="n"/>
      <c r="Q3" s="2" t="n"/>
      <c r="R3" s="2" t="n"/>
      <c r="S3" s="2" t="n"/>
      <c r="T3" s="2" t="n"/>
      <c r="U3" s="2" t="n"/>
      <c r="V3" s="2" t="n"/>
      <c r="W3" s="2" t="n"/>
      <c r="X3" s="2" t="n"/>
      <c r="Y3" s="2" t="n"/>
      <c r="Z3" s="2" t="n"/>
      <c r="AA3" s="2" t="n"/>
      <c r="AB3" s="2" t="n"/>
      <c r="AC3" s="2" t="n"/>
      <c r="AD3" s="2" t="n"/>
      <c r="AE3" s="4">
        <f>SUM(O3:V3)</f>
        <v/>
      </c>
      <c r="AF3" s="4">
        <f>SUM(W3:AC3)</f>
        <v/>
      </c>
      <c r="AG3" s="4">
        <f>SUM(O3:AD3)</f>
        <v/>
      </c>
      <c r="AH3" s="2">
        <f>IF(AG3="","",IF(AG3&lt;=26,"Very Poor",IF(AG3&lt;=38,"Poor",IF(AG3&lt;=50,"Fair",IF(AG3&lt;=62,"Good","Excellent")))))</f>
        <v/>
      </c>
      <c r="AI3" s="2" t="n"/>
      <c r="AJ3" s="2" t="n"/>
      <c r="AK3" s="2" t="n"/>
      <c r="AL3" s="2" t="n"/>
      <c r="AM3" s="4">
        <f>COUNTIF(AI3:AL3,"Y")</f>
        <v/>
      </c>
      <c r="AN3" s="2" t="n"/>
    </row>
    <row r="4">
      <c r="A4" s="2" t="inlineStr">
        <is>
          <t>WEB-03</t>
        </is>
      </c>
      <c r="B4" s="2" t="inlineStr">
        <is>
          <t>Website</t>
        </is>
      </c>
      <c r="C4" s="2" t="inlineStr">
        <is>
          <t>how to start exercising</t>
        </is>
      </c>
      <c r="D4" s="2" t="inlineStr">
        <is>
          <t>https://www.helpguide.org/wellness/fitness/how-to-start-exercising-and-stick-to-it</t>
        </is>
      </c>
      <c r="E4" s="2" t="inlineStr">
        <is>
          <t>How to Start Exercising and Stick to It</t>
        </is>
      </c>
      <c r="F4" s="2" t="inlineStr">
        <is>
          <t>https://www.helpguide.org › ... › Exercise &amp; Fitness</t>
        </is>
      </c>
      <c r="G4" s="2" t="n"/>
      <c r="H4" s="3" t="n"/>
      <c r="I4" s="4" t="n"/>
      <c r="J4" s="4" t="n"/>
      <c r="K4" s="4" t="n"/>
      <c r="L4" s="4" t="n"/>
      <c r="M4" s="2" t="n"/>
      <c r="N4" s="2" t="n"/>
      <c r="O4" s="2" t="n"/>
      <c r="P4" s="2" t="n"/>
      <c r="Q4" s="2" t="n"/>
      <c r="R4" s="2" t="n"/>
      <c r="S4" s="2" t="n"/>
      <c r="T4" s="2" t="n"/>
      <c r="U4" s="2" t="n"/>
      <c r="V4" s="2" t="n"/>
      <c r="W4" s="2" t="n"/>
      <c r="X4" s="2" t="n"/>
      <c r="Y4" s="2" t="n"/>
      <c r="Z4" s="2" t="n"/>
      <c r="AA4" s="2" t="n"/>
      <c r="AB4" s="2" t="n"/>
      <c r="AC4" s="2" t="n"/>
      <c r="AD4" s="2" t="n"/>
      <c r="AE4" s="4">
        <f>SUM(O4:V4)</f>
        <v/>
      </c>
      <c r="AF4" s="4">
        <f>SUM(W4:AC4)</f>
        <v/>
      </c>
      <c r="AG4" s="4">
        <f>SUM(O4:AD4)</f>
        <v/>
      </c>
      <c r="AH4" s="2">
        <f>IF(AG4="","",IF(AG4&lt;=26,"Very Poor",IF(AG4&lt;=38,"Poor",IF(AG4&lt;=50,"Fair",IF(AG4&lt;=62,"Good","Excellent")))))</f>
        <v/>
      </c>
      <c r="AI4" s="2" t="n"/>
      <c r="AJ4" s="2" t="n"/>
      <c r="AK4" s="2" t="n"/>
      <c r="AL4" s="2" t="n"/>
      <c r="AM4" s="4">
        <f>COUNTIF(AI4:AL4,"Y")</f>
        <v/>
      </c>
      <c r="AN4" s="2" t="n"/>
    </row>
    <row r="5">
      <c r="A5" s="2" t="inlineStr">
        <is>
          <t>WEB-04</t>
        </is>
      </c>
      <c r="B5" s="2" t="inlineStr">
        <is>
          <t>Website</t>
        </is>
      </c>
      <c r="C5" s="2" t="inlineStr">
        <is>
          <t>how to start exercising</t>
        </is>
      </c>
      <c r="D5" s="2" t="inlineStr">
        <is>
          <t>https://www.cdc.gov/healthy-weight-growth/physical-activity/getting-started.html</t>
        </is>
      </c>
      <c r="E5" s="2" t="inlineStr">
        <is>
          <t>Steps for Getting Started With Physical Activity</t>
        </is>
      </c>
      <c r="F5" s="2" t="inlineStr">
        <is>
          <t>https://www.cdc.gov › healthy-weight-growth › getting...</t>
        </is>
      </c>
      <c r="G5" s="2" t="n"/>
      <c r="H5" s="3" t="n"/>
      <c r="I5" s="4" t="n"/>
      <c r="J5" s="4" t="n"/>
      <c r="K5" s="4" t="n"/>
      <c r="L5" s="4" t="n"/>
      <c r="M5" s="2" t="n"/>
      <c r="N5" s="2" t="n"/>
      <c r="O5" s="2" t="n"/>
      <c r="P5" s="2" t="n"/>
      <c r="Q5" s="2" t="n"/>
      <c r="R5" s="2" t="n"/>
      <c r="S5" s="2" t="n"/>
      <c r="T5" s="2" t="n"/>
      <c r="U5" s="2" t="n"/>
      <c r="V5" s="2" t="n"/>
      <c r="W5" s="2" t="n"/>
      <c r="X5" s="2" t="n"/>
      <c r="Y5" s="2" t="n"/>
      <c r="Z5" s="2" t="n"/>
      <c r="AA5" s="2" t="n"/>
      <c r="AB5" s="2" t="n"/>
      <c r="AC5" s="2" t="n"/>
      <c r="AD5" s="2" t="n"/>
      <c r="AE5" s="4">
        <f>SUM(O5:V5)</f>
        <v/>
      </c>
      <c r="AF5" s="4">
        <f>SUM(W5:AC5)</f>
        <v/>
      </c>
      <c r="AG5" s="4">
        <f>SUM(O5:AD5)</f>
        <v/>
      </c>
      <c r="AH5" s="2">
        <f>IF(AG5="","",IF(AG5&lt;=26,"Very Poor",IF(AG5&lt;=38,"Poor",IF(AG5&lt;=50,"Fair",IF(AG5&lt;=62,"Good","Excellent")))))</f>
        <v/>
      </c>
      <c r="AI5" s="2" t="n"/>
      <c r="AJ5" s="2" t="n"/>
      <c r="AK5" s="2" t="n"/>
      <c r="AL5" s="2" t="n"/>
      <c r="AM5" s="4">
        <f>COUNTIF(AI5:AL5,"Y")</f>
        <v/>
      </c>
      <c r="AN5" s="2" t="n"/>
    </row>
    <row r="6">
      <c r="A6" s="2" t="inlineStr">
        <is>
          <t>WEB-05</t>
        </is>
      </c>
      <c r="B6" s="2" t="inlineStr">
        <is>
          <t>Website</t>
        </is>
      </c>
      <c r="C6" s="2" t="inlineStr">
        <is>
          <t>how to start exercising</t>
        </is>
      </c>
      <c r="D6" s="2" t="inlineStr">
        <is>
          <t>https://www.planetfitness.com/blog/articles/beginner-workout-plan-your-first-week-gym</t>
        </is>
      </c>
      <c r="E6" s="2" t="inlineStr">
        <is>
          <t>A Beginner Workout Plan for Your First Week in the Gym</t>
        </is>
      </c>
      <c r="F6" s="2" t="inlineStr">
        <is>
          <t>https://www.planetfitness.com › blog › articles › beginn...</t>
        </is>
      </c>
      <c r="G6" s="2" t="n"/>
      <c r="H6" s="3" t="n"/>
      <c r="I6" s="4" t="n"/>
      <c r="J6" s="4" t="n"/>
      <c r="K6" s="4" t="n"/>
      <c r="L6" s="4" t="n"/>
      <c r="M6" s="2" t="n"/>
      <c r="N6" s="2" t="n"/>
      <c r="O6" s="2" t="n"/>
      <c r="P6" s="2" t="n"/>
      <c r="Q6" s="2" t="n"/>
      <c r="R6" s="2" t="n"/>
      <c r="S6" s="2" t="n"/>
      <c r="T6" s="2" t="n"/>
      <c r="U6" s="2" t="n"/>
      <c r="V6" s="2" t="n"/>
      <c r="W6" s="2" t="n"/>
      <c r="X6" s="2" t="n"/>
      <c r="Y6" s="2" t="n"/>
      <c r="Z6" s="2" t="n"/>
      <c r="AA6" s="2" t="n"/>
      <c r="AB6" s="2" t="n"/>
      <c r="AC6" s="2" t="n"/>
      <c r="AD6" s="2" t="n"/>
      <c r="AE6" s="4">
        <f>SUM(O6:V6)</f>
        <v/>
      </c>
      <c r="AF6" s="4">
        <f>SUM(W6:AC6)</f>
        <v/>
      </c>
      <c r="AG6" s="4">
        <f>SUM(O6:AD6)</f>
        <v/>
      </c>
      <c r="AH6" s="2">
        <f>IF(AG6="","",IF(AG6&lt;=26,"Very Poor",IF(AG6&lt;=38,"Poor",IF(AG6&lt;=50,"Fair",IF(AG6&lt;=62,"Good","Excellent")))))</f>
        <v/>
      </c>
      <c r="AI6" s="2" t="n"/>
      <c r="AJ6" s="2" t="n"/>
      <c r="AK6" s="2" t="n"/>
      <c r="AL6" s="2" t="n"/>
      <c r="AM6" s="4">
        <f>COUNTIF(AI6:AL6,"Y")</f>
        <v/>
      </c>
      <c r="AN6" s="2" t="n"/>
    </row>
    <row r="7">
      <c r="A7" s="2" t="inlineStr">
        <is>
          <t>WEB-06</t>
        </is>
      </c>
      <c r="B7" s="2" t="inlineStr">
        <is>
          <t>Website</t>
        </is>
      </c>
      <c r="C7" s="2" t="inlineStr">
        <is>
          <t>how to start exercising</t>
        </is>
      </c>
      <c r="D7" s="2" t="inlineStr">
        <is>
          <t>https://www.youtube.com/watch?v=Yq3EMpaRPcE</t>
        </is>
      </c>
      <c r="E7" s="2" t="inlineStr">
        <is>
          <t>The BEST WAY TO START WORKING OUT FOR BEGINNERS</t>
        </is>
      </c>
      <c r="F7" s="2" t="inlineStr">
        <is>
          <t>YouTube › CHRIS HERIA</t>
        </is>
      </c>
      <c r="G7" s="2" t="n"/>
      <c r="H7" s="3" t="n"/>
      <c r="I7" s="4" t="n"/>
      <c r="J7" s="4" t="n"/>
      <c r="K7" s="4" t="n"/>
      <c r="L7" s="4" t="n"/>
      <c r="M7" s="2" t="n"/>
      <c r="N7" s="2" t="n"/>
      <c r="O7" s="2" t="n"/>
      <c r="P7" s="2" t="n"/>
      <c r="Q7" s="2" t="n"/>
      <c r="R7" s="2" t="n"/>
      <c r="S7" s="2" t="n"/>
      <c r="T7" s="2" t="n"/>
      <c r="U7" s="2" t="n"/>
      <c r="V7" s="2" t="n"/>
      <c r="W7" s="2" t="n"/>
      <c r="X7" s="2" t="n"/>
      <c r="Y7" s="2" t="n"/>
      <c r="Z7" s="2" t="n"/>
      <c r="AA7" s="2" t="n"/>
      <c r="AB7" s="2" t="n"/>
      <c r="AC7" s="2" t="n"/>
      <c r="AD7" s="2" t="n"/>
      <c r="AE7" s="4">
        <f>SUM(O7:V7)</f>
        <v/>
      </c>
      <c r="AF7" s="4">
        <f>SUM(W7:AC7)</f>
        <v/>
      </c>
      <c r="AG7" s="4">
        <f>SUM(O7:AD7)</f>
        <v/>
      </c>
      <c r="AH7" s="2">
        <f>IF(AG7="","",IF(AG7&lt;=26,"Very Poor",IF(AG7&lt;=38,"Poor",IF(AG7&lt;=50,"Fair",IF(AG7&lt;=62,"Good","Excellent")))))</f>
        <v/>
      </c>
      <c r="AI7" s="2" t="n"/>
      <c r="AJ7" s="2" t="n"/>
      <c r="AK7" s="2" t="n"/>
      <c r="AL7" s="2" t="n"/>
      <c r="AM7" s="4">
        <f>COUNTIF(AI7:AL7,"Y")</f>
        <v/>
      </c>
      <c r="AN7" s="2" t="n"/>
    </row>
    <row r="8">
      <c r="A8" s="2" t="inlineStr">
        <is>
          <t>WEB-07</t>
        </is>
      </c>
      <c r="B8" s="2" t="inlineStr">
        <is>
          <t>Website</t>
        </is>
      </c>
      <c r="C8" s="2" t="inlineStr">
        <is>
          <t>how to start exercising</t>
        </is>
      </c>
      <c r="D8" s="2" t="inlineStr">
        <is>
          <t>https://www.health.harvard.edu/staying-healthy/how-to-start-exercising-if-youre-out-of-shape-</t>
        </is>
      </c>
      <c r="E8" s="2" t="inlineStr">
        <is>
          <t>How to start exercising if you're out of shape</t>
        </is>
      </c>
      <c r="F8" s="2" t="inlineStr">
        <is>
          <t>https://www.health.harvard.edu › staying-healthy › how...</t>
        </is>
      </c>
      <c r="G8" s="2" t="n"/>
      <c r="H8" s="3" t="n"/>
      <c r="I8" s="4" t="n"/>
      <c r="J8" s="4" t="n"/>
      <c r="K8" s="4" t="n"/>
      <c r="L8" s="4" t="n"/>
      <c r="M8" s="2" t="n"/>
      <c r="N8" s="2" t="n"/>
      <c r="O8" s="2" t="n"/>
      <c r="P8" s="2" t="n"/>
      <c r="Q8" s="2" t="n"/>
      <c r="R8" s="2" t="n"/>
      <c r="S8" s="2" t="n"/>
      <c r="T8" s="2" t="n"/>
      <c r="U8" s="2" t="n"/>
      <c r="V8" s="2" t="n"/>
      <c r="W8" s="2" t="n"/>
      <c r="X8" s="2" t="n"/>
      <c r="Y8" s="2" t="n"/>
      <c r="Z8" s="2" t="n"/>
      <c r="AA8" s="2" t="n"/>
      <c r="AB8" s="2" t="n"/>
      <c r="AC8" s="2" t="n"/>
      <c r="AD8" s="2" t="n"/>
      <c r="AE8" s="4">
        <f>SUM(O8:V8)</f>
        <v/>
      </c>
      <c r="AF8" s="4">
        <f>SUM(W8:AC8)</f>
        <v/>
      </c>
      <c r="AG8" s="4">
        <f>SUM(O8:AD8)</f>
        <v/>
      </c>
      <c r="AH8" s="2">
        <f>IF(AG8="","",IF(AG8&lt;=26,"Very Poor",IF(AG8&lt;=38,"Poor",IF(AG8&lt;=50,"Fair",IF(AG8&lt;=62,"Good","Excellent")))))</f>
        <v/>
      </c>
      <c r="AI8" s="2" t="n"/>
      <c r="AJ8" s="2" t="n"/>
      <c r="AK8" s="2" t="n"/>
      <c r="AL8" s="2" t="n"/>
      <c r="AM8" s="4">
        <f>COUNTIF(AI8:AL8,"Y")</f>
        <v/>
      </c>
      <c r="AN8" s="2" t="n"/>
    </row>
    <row r="9">
      <c r="A9" s="2" t="inlineStr">
        <is>
          <t>WEB-08</t>
        </is>
      </c>
      <c r="B9" s="2" t="inlineStr">
        <is>
          <t>Website</t>
        </is>
      </c>
      <c r="C9" s="2" t="inlineStr">
        <is>
          <t>how to start exercising</t>
        </is>
      </c>
      <c r="D9" s="2" t="inlineStr">
        <is>
          <t>https://www.heart.org/en/healthy-living/fitness/getting-active/getting-started---tips-for-long-term-exercise-success</t>
        </is>
      </c>
      <c r="E9" s="2" t="inlineStr">
        <is>
          <t>Getting Started: Tips for Long-term Exercise Success</t>
        </is>
      </c>
      <c r="F9" s="2" t="inlineStr">
        <is>
          <t>https://www.heart.org › fitness › getting-active › getting-...</t>
        </is>
      </c>
      <c r="G9" s="2" t="n"/>
      <c r="H9" s="3" t="n"/>
      <c r="I9" s="4" t="n"/>
      <c r="J9" s="4" t="n"/>
      <c r="K9" s="4" t="n"/>
      <c r="L9" s="4" t="n"/>
      <c r="M9" s="2" t="n"/>
      <c r="N9" s="2" t="n"/>
      <c r="O9" s="2" t="n"/>
      <c r="P9" s="2" t="n"/>
      <c r="Q9" s="2" t="n"/>
      <c r="R9" s="2" t="n"/>
      <c r="S9" s="2" t="n"/>
      <c r="T9" s="2" t="n"/>
      <c r="U9" s="2" t="n"/>
      <c r="V9" s="2" t="n"/>
      <c r="W9" s="2" t="n"/>
      <c r="X9" s="2" t="n"/>
      <c r="Y9" s="2" t="n"/>
      <c r="Z9" s="2" t="n"/>
      <c r="AA9" s="2" t="n"/>
      <c r="AB9" s="2" t="n"/>
      <c r="AC9" s="2" t="n"/>
      <c r="AD9" s="2" t="n"/>
      <c r="AE9" s="4">
        <f>SUM(O9:V9)</f>
        <v/>
      </c>
      <c r="AF9" s="4">
        <f>SUM(W9:AC9)</f>
        <v/>
      </c>
      <c r="AG9" s="4">
        <f>SUM(O9:AD9)</f>
        <v/>
      </c>
      <c r="AH9" s="2">
        <f>IF(AG9="","",IF(AG9&lt;=26,"Very Poor",IF(AG9&lt;=38,"Poor",IF(AG9&lt;=50,"Fair",IF(AG9&lt;=62,"Good","Excellent")))))</f>
        <v/>
      </c>
      <c r="AI9" s="2" t="n"/>
      <c r="AJ9" s="2" t="n"/>
      <c r="AK9" s="2" t="n"/>
      <c r="AL9" s="2" t="n"/>
      <c r="AM9" s="4">
        <f>COUNTIF(AI9:AL9,"Y")</f>
        <v/>
      </c>
      <c r="AN9" s="2" t="n"/>
    </row>
    <row r="10">
      <c r="A10" s="2" t="inlineStr">
        <is>
          <t>WEB-09</t>
        </is>
      </c>
      <c r="B10" s="2" t="inlineStr">
        <is>
          <t>Website</t>
        </is>
      </c>
      <c r="C10" s="2" t="inlineStr">
        <is>
          <t>how to start exercising</t>
        </is>
      </c>
      <c r="D10" s="2" t="inlineStr">
        <is>
          <t>https://www.nhs.uk/live-well/exercise/</t>
        </is>
      </c>
      <c r="E10" s="2" t="inlineStr">
        <is>
          <t>Exercise</t>
        </is>
      </c>
      <c r="F10" s="2" t="inlineStr">
        <is>
          <t>https://www.nhs.uk › live-well › exercise</t>
        </is>
      </c>
      <c r="G10" s="2" t="n"/>
      <c r="H10" s="3" t="n"/>
      <c r="I10" s="4" t="n"/>
      <c r="J10" s="4" t="n"/>
      <c r="K10" s="4" t="n"/>
      <c r="L10" s="4" t="n"/>
      <c r="M10" s="2" t="n"/>
      <c r="N10" s="2" t="n"/>
      <c r="O10" s="2" t="n"/>
      <c r="P10" s="2" t="n"/>
      <c r="Q10" s="2" t="n"/>
      <c r="R10" s="2" t="n"/>
      <c r="S10" s="2" t="n"/>
      <c r="T10" s="2" t="n"/>
      <c r="U10" s="2" t="n"/>
      <c r="V10" s="2" t="n"/>
      <c r="W10" s="2" t="n"/>
      <c r="X10" s="2" t="n"/>
      <c r="Y10" s="2" t="n"/>
      <c r="Z10" s="2" t="n"/>
      <c r="AA10" s="2" t="n"/>
      <c r="AB10" s="2" t="n"/>
      <c r="AC10" s="2" t="n"/>
      <c r="AD10" s="2" t="n"/>
      <c r="AE10" s="4">
        <f>SUM(O10:V10)</f>
        <v/>
      </c>
      <c r="AF10" s="4">
        <f>SUM(W10:AC10)</f>
        <v/>
      </c>
      <c r="AG10" s="4">
        <f>SUM(O10:AD10)</f>
        <v/>
      </c>
      <c r="AH10" s="2">
        <f>IF(AG10="","",IF(AG10&lt;=26,"Very Poor",IF(AG10&lt;=38,"Poor",IF(AG10&lt;=50,"Fair",IF(AG10&lt;=62,"Good","Excellent")))))</f>
        <v/>
      </c>
      <c r="AI10" s="2" t="n"/>
      <c r="AJ10" s="2" t="n"/>
      <c r="AK10" s="2" t="n"/>
      <c r="AL10" s="2" t="n"/>
      <c r="AM10" s="4">
        <f>COUNTIF(AI10:AL10,"Y")</f>
        <v/>
      </c>
      <c r="AN10" s="2" t="n"/>
    </row>
    <row r="11">
      <c r="A11" s="2" t="inlineStr">
        <is>
          <t>WEB-10</t>
        </is>
      </c>
      <c r="B11" s="2" t="inlineStr">
        <is>
          <t>Website</t>
        </is>
      </c>
      <c r="C11" s="2" t="inlineStr">
        <is>
          <t>how to start exercising</t>
        </is>
      </c>
      <c r="D11" s="2" t="inlineStr">
        <is>
          <t>https://www.nytimes.com/2024/01/05/well/move/fitness-workout-new-year.html</t>
        </is>
      </c>
      <c r="E11" s="2" t="inlineStr">
        <is>
          <t>How to Start Working Out Again</t>
        </is>
      </c>
      <c r="F11" s="2" t="inlineStr">
        <is>
          <t>https://www.nytimes.com › Well › Move</t>
        </is>
      </c>
      <c r="G11" s="2" t="n"/>
      <c r="H11" s="3" t="n"/>
      <c r="I11" s="4" t="n"/>
      <c r="J11" s="4" t="n"/>
      <c r="K11" s="4" t="n"/>
      <c r="L11" s="4" t="n"/>
      <c r="M11" s="2" t="n"/>
      <c r="N11" s="2" t="n"/>
      <c r="O11" s="2" t="n"/>
      <c r="P11" s="2" t="n"/>
      <c r="Q11" s="2" t="n"/>
      <c r="R11" s="2" t="n"/>
      <c r="S11" s="2" t="n"/>
      <c r="T11" s="2" t="n"/>
      <c r="U11" s="2" t="n"/>
      <c r="V11" s="2" t="n"/>
      <c r="W11" s="2" t="n"/>
      <c r="X11" s="2" t="n"/>
      <c r="Y11" s="2" t="n"/>
      <c r="Z11" s="2" t="n"/>
      <c r="AA11" s="2" t="n"/>
      <c r="AB11" s="2" t="n"/>
      <c r="AC11" s="2" t="n"/>
      <c r="AD11" s="2" t="n"/>
      <c r="AE11" s="4">
        <f>SUM(O11:V11)</f>
        <v/>
      </c>
      <c r="AF11" s="4">
        <f>SUM(W11:AC11)</f>
        <v/>
      </c>
      <c r="AG11" s="4">
        <f>SUM(O11:AD11)</f>
        <v/>
      </c>
      <c r="AH11" s="2">
        <f>IF(AG11="","",IF(AG11&lt;=26,"Very Poor",IF(AG11&lt;=38,"Poor",IF(AG11&lt;=50,"Fair",IF(AG11&lt;=62,"Good","Excellent")))))</f>
        <v/>
      </c>
      <c r="AI11" s="2" t="n"/>
      <c r="AJ11" s="2" t="n"/>
      <c r="AK11" s="2" t="n"/>
      <c r="AL11" s="2" t="n"/>
      <c r="AM11" s="4">
        <f>COUNTIF(AI11:AL11,"Y")</f>
        <v/>
      </c>
      <c r="AN11" s="2" t="n"/>
    </row>
    <row r="12">
      <c r="A12" s="2" t="inlineStr">
        <is>
          <t>WEB-11</t>
        </is>
      </c>
      <c r="B12" s="2" t="inlineStr">
        <is>
          <t>Website</t>
        </is>
      </c>
      <c r="C12" s="2" t="inlineStr">
        <is>
          <t>best exercises to lose weight</t>
        </is>
      </c>
      <c r="D12" s="2" t="inlineStr">
        <is>
          <t>https://www.mayoclinic.org/healthy-lifestyle/weight-loss/in-depth/exercise/art-20050999</t>
        </is>
      </c>
      <c r="E12" s="2" t="inlineStr">
        <is>
          <t>Exercise for weight loss: Calories burned in 1 hour</t>
        </is>
      </c>
      <c r="F12" s="2" t="inlineStr">
        <is>
          <t>https://www.mayoclinic.org › ... › Weight loss</t>
        </is>
      </c>
      <c r="G12" s="2" t="n"/>
      <c r="H12" s="3" t="n"/>
      <c r="I12" s="4" t="n"/>
      <c r="J12" s="4" t="n"/>
      <c r="K12" s="4" t="n"/>
      <c r="L12" s="4" t="n"/>
      <c r="M12" s="2" t="n"/>
      <c r="N12" s="2" t="n"/>
      <c r="O12" s="2" t="n"/>
      <c r="P12" s="2" t="n"/>
      <c r="Q12" s="2" t="n"/>
      <c r="R12" s="2" t="n"/>
      <c r="S12" s="2" t="n"/>
      <c r="T12" s="2" t="n"/>
      <c r="U12" s="2" t="n"/>
      <c r="V12" s="2" t="n"/>
      <c r="W12" s="2" t="n"/>
      <c r="X12" s="2" t="n"/>
      <c r="Y12" s="2" t="n"/>
      <c r="Z12" s="2" t="n"/>
      <c r="AA12" s="2" t="n"/>
      <c r="AB12" s="2" t="n"/>
      <c r="AC12" s="2" t="n"/>
      <c r="AD12" s="2" t="n"/>
      <c r="AE12" s="4">
        <f>SUM(O12:V12)</f>
        <v/>
      </c>
      <c r="AF12" s="4">
        <f>SUM(W12:AC12)</f>
        <v/>
      </c>
      <c r="AG12" s="4">
        <f>SUM(O12:AD12)</f>
        <v/>
      </c>
      <c r="AH12" s="2">
        <f>IF(AG12="","",IF(AG12&lt;=26,"Very Poor",IF(AG12&lt;=38,"Poor",IF(AG12&lt;=50,"Fair",IF(AG12&lt;=62,"Good","Excellent")))))</f>
        <v/>
      </c>
      <c r="AI12" s="2" t="n"/>
      <c r="AJ12" s="2" t="n"/>
      <c r="AK12" s="2" t="n"/>
      <c r="AL12" s="2" t="n"/>
      <c r="AM12" s="4">
        <f>COUNTIF(AI12:AL12,"Y")</f>
        <v/>
      </c>
      <c r="AN12" s="2" t="n"/>
    </row>
    <row r="13">
      <c r="A13" s="2" t="inlineStr">
        <is>
          <t>WEB-12</t>
        </is>
      </c>
      <c r="B13" s="2" t="inlineStr">
        <is>
          <t>Website</t>
        </is>
      </c>
      <c r="C13" s="2" t="inlineStr">
        <is>
          <t>best exercises to lose weight</t>
        </is>
      </c>
      <c r="D13" s="2" t="inlineStr">
        <is>
          <t>https://www.webmd.com/fitness-exercise/ss/slideshow-exercises-weightloss</t>
        </is>
      </c>
      <c r="E13" s="2" t="inlineStr">
        <is>
          <t>Best Exercises for Weight Loss</t>
        </is>
      </c>
      <c r="F13" s="2" t="inlineStr">
        <is>
          <t>https://www.webmd.com › ... › Slideshows</t>
        </is>
      </c>
      <c r="G13" s="2" t="n"/>
      <c r="H13" s="3" t="n"/>
      <c r="I13" s="4" t="n"/>
      <c r="J13" s="4" t="n"/>
      <c r="K13" s="4" t="n"/>
      <c r="L13" s="4" t="n"/>
      <c r="M13" s="2" t="n"/>
      <c r="N13" s="2" t="n"/>
      <c r="O13" s="2" t="n"/>
      <c r="P13" s="2" t="n"/>
      <c r="Q13" s="2" t="n"/>
      <c r="R13" s="2" t="n"/>
      <c r="S13" s="2" t="n"/>
      <c r="T13" s="2" t="n"/>
      <c r="U13" s="2" t="n"/>
      <c r="V13" s="2" t="n"/>
      <c r="W13" s="2" t="n"/>
      <c r="X13" s="2" t="n"/>
      <c r="Y13" s="2" t="n"/>
      <c r="Z13" s="2" t="n"/>
      <c r="AA13" s="2" t="n"/>
      <c r="AB13" s="2" t="n"/>
      <c r="AC13" s="2" t="n"/>
      <c r="AD13" s="2" t="n"/>
      <c r="AE13" s="4">
        <f>SUM(O13:V13)</f>
        <v/>
      </c>
      <c r="AF13" s="4">
        <f>SUM(W13:AC13)</f>
        <v/>
      </c>
      <c r="AG13" s="4">
        <f>SUM(O13:AD13)</f>
        <v/>
      </c>
      <c r="AH13" s="2">
        <f>IF(AG13="","",IF(AG13&lt;=26,"Very Poor",IF(AG13&lt;=38,"Poor",IF(AG13&lt;=50,"Fair",IF(AG13&lt;=62,"Good","Excellent")))))</f>
        <v/>
      </c>
      <c r="AI13" s="2" t="n"/>
      <c r="AJ13" s="2" t="n"/>
      <c r="AK13" s="2" t="n"/>
      <c r="AL13" s="2" t="n"/>
      <c r="AM13" s="4">
        <f>COUNTIF(AI13:AL13,"Y")</f>
        <v/>
      </c>
      <c r="AN13" s="2" t="n"/>
    </row>
    <row r="14">
      <c r="A14" s="2" t="inlineStr">
        <is>
          <t>WEB-13</t>
        </is>
      </c>
      <c r="B14" s="2" t="inlineStr">
        <is>
          <t>Website</t>
        </is>
      </c>
      <c r="C14" s="2" t="inlineStr">
        <is>
          <t>best exercises to lose weight</t>
        </is>
      </c>
      <c r="D14" s="2" t="inlineStr">
        <is>
          <t>https://www.bhf.org.uk/informationsupport/heart-matters-magazine/activity/best-exercise-to-lose-belly-fat</t>
        </is>
      </c>
      <c r="E14" s="2" t="inlineStr">
        <is>
          <t>What's the best exercise to lose fat around your belly?</t>
        </is>
      </c>
      <c r="F14" s="2" t="inlineStr">
        <is>
          <t>https://www.bhf.org.uk › informationsupport › activity</t>
        </is>
      </c>
      <c r="G14" s="2" t="n"/>
      <c r="H14" s="3" t="n"/>
      <c r="I14" s="4" t="n"/>
      <c r="J14" s="4" t="n"/>
      <c r="K14" s="4" t="n"/>
      <c r="L14" s="4" t="n"/>
      <c r="M14" s="2" t="n"/>
      <c r="N14" s="2" t="n"/>
      <c r="O14" s="2" t="n"/>
      <c r="P14" s="2" t="n"/>
      <c r="Q14" s="2" t="n"/>
      <c r="R14" s="2" t="n"/>
      <c r="S14" s="2" t="n"/>
      <c r="T14" s="2" t="n"/>
      <c r="U14" s="2" t="n"/>
      <c r="V14" s="2" t="n"/>
      <c r="W14" s="2" t="n"/>
      <c r="X14" s="2" t="n"/>
      <c r="Y14" s="2" t="n"/>
      <c r="Z14" s="2" t="n"/>
      <c r="AA14" s="2" t="n"/>
      <c r="AB14" s="2" t="n"/>
      <c r="AC14" s="2" t="n"/>
      <c r="AD14" s="2" t="n"/>
      <c r="AE14" s="4">
        <f>SUM(O14:V14)</f>
        <v/>
      </c>
      <c r="AF14" s="4">
        <f>SUM(W14:AC14)</f>
        <v/>
      </c>
      <c r="AG14" s="4">
        <f>SUM(O14:AD14)</f>
        <v/>
      </c>
      <c r="AH14" s="2">
        <f>IF(AG14="","",IF(AG14&lt;=26,"Very Poor",IF(AG14&lt;=38,"Poor",IF(AG14&lt;=50,"Fair",IF(AG14&lt;=62,"Good","Excellent")))))</f>
        <v/>
      </c>
      <c r="AI14" s="2" t="n"/>
      <c r="AJ14" s="2" t="n"/>
      <c r="AK14" s="2" t="n"/>
      <c r="AL14" s="2" t="n"/>
      <c r="AM14" s="4">
        <f>COUNTIF(AI14:AL14,"Y")</f>
        <v/>
      </c>
      <c r="AN14" s="2" t="n"/>
    </row>
    <row r="15">
      <c r="A15" s="2" t="inlineStr">
        <is>
          <t>WEB-14</t>
        </is>
      </c>
      <c r="B15" s="2" t="inlineStr">
        <is>
          <t>Website</t>
        </is>
      </c>
      <c r="C15" s="2" t="inlineStr">
        <is>
          <t>best exercises to lose weight</t>
        </is>
      </c>
      <c r="D15" s="2" t="inlineStr">
        <is>
          <t>https://www.health.harvard.edu/staying-healthy/simple-math-equals-easy-weight-loss</t>
        </is>
      </c>
      <c r="E15" s="2" t="inlineStr">
        <is>
          <t>Exercise and weight loss: A formula for success</t>
        </is>
      </c>
      <c r="F15" s="2" t="inlineStr">
        <is>
          <t>https://www.health.harvard.edu › staying-healthy › sim...</t>
        </is>
      </c>
      <c r="G15" s="2" t="n"/>
      <c r="H15" s="3" t="n"/>
      <c r="I15" s="4" t="n"/>
      <c r="J15" s="4" t="n"/>
      <c r="K15" s="4" t="n"/>
      <c r="L15" s="4" t="n"/>
      <c r="M15" s="2" t="n"/>
      <c r="N15" s="2" t="n"/>
      <c r="O15" s="2" t="n"/>
      <c r="P15" s="2" t="n"/>
      <c r="Q15" s="2" t="n"/>
      <c r="R15" s="2" t="n"/>
      <c r="S15" s="2" t="n"/>
      <c r="T15" s="2" t="n"/>
      <c r="U15" s="2" t="n"/>
      <c r="V15" s="2" t="n"/>
      <c r="W15" s="2" t="n"/>
      <c r="X15" s="2" t="n"/>
      <c r="Y15" s="2" t="n"/>
      <c r="Z15" s="2" t="n"/>
      <c r="AA15" s="2" t="n"/>
      <c r="AB15" s="2" t="n"/>
      <c r="AC15" s="2" t="n"/>
      <c r="AD15" s="2" t="n"/>
      <c r="AE15" s="4">
        <f>SUM(O15:V15)</f>
        <v/>
      </c>
      <c r="AF15" s="4">
        <f>SUM(W15:AC15)</f>
        <v/>
      </c>
      <c r="AG15" s="4">
        <f>SUM(O15:AD15)</f>
        <v/>
      </c>
      <c r="AH15" s="2">
        <f>IF(AG15="","",IF(AG15&lt;=26,"Very Poor",IF(AG15&lt;=38,"Poor",IF(AG15&lt;=50,"Fair",IF(AG15&lt;=62,"Good","Excellent")))))</f>
        <v/>
      </c>
      <c r="AI15" s="2" t="n"/>
      <c r="AJ15" s="2" t="n"/>
      <c r="AK15" s="2" t="n"/>
      <c r="AL15" s="2" t="n"/>
      <c r="AM15" s="4">
        <f>COUNTIF(AI15:AL15,"Y")</f>
        <v/>
      </c>
      <c r="AN15" s="2" t="n"/>
    </row>
    <row r="16">
      <c r="A16" s="2" t="inlineStr">
        <is>
          <t>WEB-15</t>
        </is>
      </c>
      <c r="B16" s="2" t="inlineStr">
        <is>
          <t>Website</t>
        </is>
      </c>
      <c r="C16" s="2" t="inlineStr">
        <is>
          <t>best exercises to lose weight</t>
        </is>
      </c>
      <c r="D16" s="2" t="inlineStr">
        <is>
          <t>https://www.muscleandstrength.com/workouts/beginner-fat-loss-workout</t>
        </is>
      </c>
      <c r="E16" s="2" t="inlineStr">
        <is>
          <t>8 Week Fat Loss Workout for Beginners</t>
        </is>
      </c>
      <c r="F16" s="2" t="inlineStr">
        <is>
          <t>https://www.muscleandstrength.com › workouts › begin...</t>
        </is>
      </c>
      <c r="G16" s="2" t="n"/>
      <c r="H16" s="3" t="n"/>
      <c r="I16" s="4" t="n"/>
      <c r="J16" s="4" t="n"/>
      <c r="K16" s="4" t="n"/>
      <c r="L16" s="4" t="n"/>
      <c r="M16" s="2" t="n"/>
      <c r="N16" s="2" t="n"/>
      <c r="O16" s="2" t="n"/>
      <c r="P16" s="2" t="n"/>
      <c r="Q16" s="2" t="n"/>
      <c r="R16" s="2" t="n"/>
      <c r="S16" s="2" t="n"/>
      <c r="T16" s="2" t="n"/>
      <c r="U16" s="2" t="n"/>
      <c r="V16" s="2" t="n"/>
      <c r="W16" s="2" t="n"/>
      <c r="X16" s="2" t="n"/>
      <c r="Y16" s="2" t="n"/>
      <c r="Z16" s="2" t="n"/>
      <c r="AA16" s="2" t="n"/>
      <c r="AB16" s="2" t="n"/>
      <c r="AC16" s="2" t="n"/>
      <c r="AD16" s="2" t="n"/>
      <c r="AE16" s="4">
        <f>SUM(O16:V16)</f>
        <v/>
      </c>
      <c r="AF16" s="4">
        <f>SUM(W16:AC16)</f>
        <v/>
      </c>
      <c r="AG16" s="4">
        <f>SUM(O16:AD16)</f>
        <v/>
      </c>
      <c r="AH16" s="2">
        <f>IF(AG16="","",IF(AG16&lt;=26,"Very Poor",IF(AG16&lt;=38,"Poor",IF(AG16&lt;=50,"Fair",IF(AG16&lt;=62,"Good","Excellent")))))</f>
        <v/>
      </c>
      <c r="AI16" s="2" t="n"/>
      <c r="AJ16" s="2" t="n"/>
      <c r="AK16" s="2" t="n"/>
      <c r="AL16" s="2" t="n"/>
      <c r="AM16" s="4">
        <f>COUNTIF(AI16:AL16,"Y")</f>
        <v/>
      </c>
      <c r="AN16" s="2" t="n"/>
    </row>
    <row r="17">
      <c r="A17" s="2" t="inlineStr">
        <is>
          <t>WEB-16</t>
        </is>
      </c>
      <c r="B17" s="2" t="inlineStr">
        <is>
          <t>Website</t>
        </is>
      </c>
      <c r="C17" s="2" t="inlineStr">
        <is>
          <t>best exercises to lose weight</t>
        </is>
      </c>
      <c r="D17" s="2" t="inlineStr">
        <is>
          <t>https://www.youtube.com/watch?v=Fz89dJTZsko</t>
        </is>
      </c>
      <c r="E17" s="2" t="inlineStr">
        <is>
          <t>Everything That Burns More Fat Than Jogging</t>
        </is>
      </c>
      <c r="F17" s="2" t="inlineStr">
        <is>
          <t>YouTube › Jeremy Ethier</t>
        </is>
      </c>
      <c r="G17" s="2" t="n"/>
      <c r="H17" s="3" t="n"/>
      <c r="I17" s="4" t="n"/>
      <c r="J17" s="4" t="n"/>
      <c r="K17" s="4" t="n"/>
      <c r="L17" s="4" t="n"/>
      <c r="M17" s="2" t="n"/>
      <c r="N17" s="2" t="n"/>
      <c r="O17" s="2" t="n"/>
      <c r="P17" s="2" t="n"/>
      <c r="Q17" s="2" t="n"/>
      <c r="R17" s="2" t="n"/>
      <c r="S17" s="2" t="n"/>
      <c r="T17" s="2" t="n"/>
      <c r="U17" s="2" t="n"/>
      <c r="V17" s="2" t="n"/>
      <c r="W17" s="2" t="n"/>
      <c r="X17" s="2" t="n"/>
      <c r="Y17" s="2" t="n"/>
      <c r="Z17" s="2" t="n"/>
      <c r="AA17" s="2" t="n"/>
      <c r="AB17" s="2" t="n"/>
      <c r="AC17" s="2" t="n"/>
      <c r="AD17" s="2" t="n"/>
      <c r="AE17" s="4">
        <f>SUM(O17:V17)</f>
        <v/>
      </c>
      <c r="AF17" s="4">
        <f>SUM(W17:AC17)</f>
        <v/>
      </c>
      <c r="AG17" s="4">
        <f>SUM(O17:AD17)</f>
        <v/>
      </c>
      <c r="AH17" s="2">
        <f>IF(AG17="","",IF(AG17&lt;=26,"Very Poor",IF(AG17&lt;=38,"Poor",IF(AG17&lt;=50,"Fair",IF(AG17&lt;=62,"Good","Excellent")))))</f>
        <v/>
      </c>
      <c r="AI17" s="2" t="n"/>
      <c r="AJ17" s="2" t="n"/>
      <c r="AK17" s="2" t="n"/>
      <c r="AL17" s="2" t="n"/>
      <c r="AM17" s="4">
        <f>COUNTIF(AI17:AL17,"Y")</f>
        <v/>
      </c>
      <c r="AN17" s="2" t="n"/>
    </row>
    <row r="18">
      <c r="A18" s="2" t="inlineStr">
        <is>
          <t>WEB-17</t>
        </is>
      </c>
      <c r="B18" s="2" t="inlineStr">
        <is>
          <t>Website</t>
        </is>
      </c>
      <c r="C18" s="2" t="inlineStr">
        <is>
          <t>best exercises to lose weight</t>
        </is>
      </c>
      <c r="D18" s="2" t="inlineStr">
        <is>
          <t>https://armourbody.com/blog/best-exercises-to-lose-weight-fast</t>
        </is>
      </c>
      <c r="E18" s="2" t="inlineStr">
        <is>
          <t>8 Best Exercises to Lose Weight Fast</t>
        </is>
      </c>
      <c r="F18" s="2" t="inlineStr">
        <is>
          <t>https://armourbody.com › blog › best-exercises-to-lose-...</t>
        </is>
      </c>
      <c r="G18" s="2" t="n"/>
      <c r="H18" s="3" t="n"/>
      <c r="I18" s="4" t="n"/>
      <c r="J18" s="4" t="n"/>
      <c r="K18" s="4" t="n"/>
      <c r="L18" s="4" t="n"/>
      <c r="M18" s="2" t="n"/>
      <c r="N18" s="2" t="n"/>
      <c r="O18" s="2" t="n"/>
      <c r="P18" s="2" t="n"/>
      <c r="Q18" s="2" t="n"/>
      <c r="R18" s="2" t="n"/>
      <c r="S18" s="2" t="n"/>
      <c r="T18" s="2" t="n"/>
      <c r="U18" s="2" t="n"/>
      <c r="V18" s="2" t="n"/>
      <c r="W18" s="2" t="n"/>
      <c r="X18" s="2" t="n"/>
      <c r="Y18" s="2" t="n"/>
      <c r="Z18" s="2" t="n"/>
      <c r="AA18" s="2" t="n"/>
      <c r="AB18" s="2" t="n"/>
      <c r="AC18" s="2" t="n"/>
      <c r="AD18" s="2" t="n"/>
      <c r="AE18" s="4">
        <f>SUM(O18:V18)</f>
        <v/>
      </c>
      <c r="AF18" s="4">
        <f>SUM(W18:AC18)</f>
        <v/>
      </c>
      <c r="AG18" s="4">
        <f>SUM(O18:AD18)</f>
        <v/>
      </c>
      <c r="AH18" s="2">
        <f>IF(AG18="","",IF(AG18&lt;=26,"Very Poor",IF(AG18&lt;=38,"Poor",IF(AG18&lt;=50,"Fair",IF(AG18&lt;=62,"Good","Excellent")))))</f>
        <v/>
      </c>
      <c r="AI18" s="2" t="n"/>
      <c r="AJ18" s="2" t="n"/>
      <c r="AK18" s="2" t="n"/>
      <c r="AL18" s="2" t="n"/>
      <c r="AM18" s="4">
        <f>COUNTIF(AI18:AL18,"Y")</f>
        <v/>
      </c>
      <c r="AN18" s="2" t="n"/>
    </row>
    <row r="19">
      <c r="A19" s="2" t="inlineStr">
        <is>
          <t>WEB-18</t>
        </is>
      </c>
      <c r="B19" s="2" t="inlineStr">
        <is>
          <t>Website</t>
        </is>
      </c>
      <c r="C19" s="2" t="inlineStr">
        <is>
          <t>best exercises to lose weight</t>
        </is>
      </c>
      <c r="D19" s="2" t="inlineStr">
        <is>
          <t>https://www.womenshealthmag.com/fitness/a70098294/best-calorie-burning-exercises-ranked/</t>
        </is>
      </c>
      <c r="E19" s="2" t="inlineStr">
        <is>
          <t>"Best Calorie Burning Exercises</t>
        </is>
      </c>
      <c r="F19" s="2" t="inlineStr">
        <is>
          <t>Ranked By Fitness Experts"</t>
        </is>
      </c>
      <c r="G19" s="2" t="n"/>
      <c r="H19" s="3" t="n"/>
      <c r="I19" s="4" t="n"/>
      <c r="J19" s="4" t="n"/>
      <c r="K19" s="4" t="n"/>
      <c r="L19" s="4" t="n"/>
      <c r="M19" s="2" t="n"/>
      <c r="N19" s="2" t="n"/>
      <c r="O19" s="2" t="n"/>
      <c r="P19" s="2" t="n"/>
      <c r="Q19" s="2" t="n"/>
      <c r="R19" s="2" t="n"/>
      <c r="S19" s="2" t="n"/>
      <c r="T19" s="2" t="n"/>
      <c r="U19" s="2" t="n"/>
      <c r="V19" s="2" t="n"/>
      <c r="W19" s="2" t="n"/>
      <c r="X19" s="2" t="n"/>
      <c r="Y19" s="2" t="n"/>
      <c r="Z19" s="2" t="n"/>
      <c r="AA19" s="2" t="n"/>
      <c r="AB19" s="2" t="n"/>
      <c r="AC19" s="2" t="n"/>
      <c r="AD19" s="2" t="n"/>
      <c r="AE19" s="4">
        <f>SUM(O19:V19)</f>
        <v/>
      </c>
      <c r="AF19" s="4">
        <f>SUM(W19:AC19)</f>
        <v/>
      </c>
      <c r="AG19" s="4">
        <f>SUM(O19:AD19)</f>
        <v/>
      </c>
      <c r="AH19" s="2">
        <f>IF(AG19="","",IF(AG19&lt;=26,"Very Poor",IF(AG19&lt;=38,"Poor",IF(AG19&lt;=50,"Fair",IF(AG19&lt;=62,"Good","Excellent")))))</f>
        <v/>
      </c>
      <c r="AI19" s="2" t="n"/>
      <c r="AJ19" s="2" t="n"/>
      <c r="AK19" s="2" t="n"/>
      <c r="AL19" s="2" t="n"/>
      <c r="AM19" s="4">
        <f>COUNTIF(AI19:AL19,"Y")</f>
        <v/>
      </c>
      <c r="AN19" s="2" t="n"/>
    </row>
    <row r="20">
      <c r="A20" s="2" t="inlineStr">
        <is>
          <t>WEB-19</t>
        </is>
      </c>
      <c r="B20" s="2" t="inlineStr">
        <is>
          <t>Website</t>
        </is>
      </c>
      <c r="C20" s="2" t="inlineStr">
        <is>
          <t>best exercises to lose weight</t>
        </is>
      </c>
      <c r="D20" s="2" t="inlineStr">
        <is>
          <t>https://www.sciencefocus.com/the-human-body/weight-loss-theories</t>
        </is>
      </c>
      <c r="E20" s="2" t="inlineStr">
        <is>
          <t>Here's the only science-backed lesson on exercise you ...</t>
        </is>
      </c>
      <c r="F20" s="2" t="inlineStr">
        <is>
          <t>https://www.sciencefocus.com › weight-loss-theories</t>
        </is>
      </c>
      <c r="G20" s="2" t="n"/>
      <c r="H20" s="3" t="n"/>
      <c r="I20" s="4" t="n"/>
      <c r="J20" s="4" t="n"/>
      <c r="K20" s="4" t="n"/>
      <c r="L20" s="4" t="n"/>
      <c r="M20" s="2" t="n"/>
      <c r="N20" s="2" t="n"/>
      <c r="O20" s="2" t="n"/>
      <c r="P20" s="2" t="n"/>
      <c r="Q20" s="2" t="n"/>
      <c r="R20" s="2" t="n"/>
      <c r="S20" s="2" t="n"/>
      <c r="T20" s="2" t="n"/>
      <c r="U20" s="2" t="n"/>
      <c r="V20" s="2" t="n"/>
      <c r="W20" s="2" t="n"/>
      <c r="X20" s="2" t="n"/>
      <c r="Y20" s="2" t="n"/>
      <c r="Z20" s="2" t="n"/>
      <c r="AA20" s="2" t="n"/>
      <c r="AB20" s="2" t="n"/>
      <c r="AC20" s="2" t="n"/>
      <c r="AD20" s="2" t="n"/>
      <c r="AE20" s="4">
        <f>SUM(O20:V20)</f>
        <v/>
      </c>
      <c r="AF20" s="4">
        <f>SUM(W20:AC20)</f>
        <v/>
      </c>
      <c r="AG20" s="4">
        <f>SUM(O20:AD20)</f>
        <v/>
      </c>
      <c r="AH20" s="2">
        <f>IF(AG20="","",IF(AG20&lt;=26,"Very Poor",IF(AG20&lt;=38,"Poor",IF(AG20&lt;=50,"Fair",IF(AG20&lt;=62,"Good","Excellent")))))</f>
        <v/>
      </c>
      <c r="AI20" s="2" t="n"/>
      <c r="AJ20" s="2" t="n"/>
      <c r="AK20" s="2" t="n"/>
      <c r="AL20" s="2" t="n"/>
      <c r="AM20" s="4">
        <f>COUNTIF(AI20:AL20,"Y")</f>
        <v/>
      </c>
      <c r="AN20" s="2" t="n"/>
    </row>
    <row r="21">
      <c r="A21" s="2" t="inlineStr">
        <is>
          <t>WEB-20</t>
        </is>
      </c>
      <c r="B21" s="2" t="inlineStr">
        <is>
          <t>Website</t>
        </is>
      </c>
      <c r="C21" s="2" t="inlineStr">
        <is>
          <t>best exercises to lose weight</t>
        </is>
      </c>
      <c r="D21" s="2" t="inlineStr">
        <is>
          <t>https://www.totalwellbeingdiet.com/au/resources/guides/the-best-weight-loss-exercises/</t>
        </is>
      </c>
      <c r="E21" s="2" t="inlineStr">
        <is>
          <t>The Best Weight Loss Exercises</t>
        </is>
      </c>
      <c r="F21" s="2" t="inlineStr">
        <is>
          <t>https://www.totalwellbeingdiet.com › resources › guides</t>
        </is>
      </c>
      <c r="G21" s="2" t="n"/>
      <c r="H21" s="3" t="n"/>
      <c r="I21" s="4" t="n"/>
      <c r="J21" s="4" t="n"/>
      <c r="K21" s="4" t="n"/>
      <c r="L21" s="4" t="n"/>
      <c r="M21" s="2" t="n"/>
      <c r="N21" s="2" t="n"/>
      <c r="O21" s="2" t="n"/>
      <c r="P21" s="2" t="n"/>
      <c r="Q21" s="2" t="n"/>
      <c r="R21" s="2" t="n"/>
      <c r="S21" s="2" t="n"/>
      <c r="T21" s="2" t="n"/>
      <c r="U21" s="2" t="n"/>
      <c r="V21" s="2" t="n"/>
      <c r="W21" s="2" t="n"/>
      <c r="X21" s="2" t="n"/>
      <c r="Y21" s="2" t="n"/>
      <c r="Z21" s="2" t="n"/>
      <c r="AA21" s="2" t="n"/>
      <c r="AB21" s="2" t="n"/>
      <c r="AC21" s="2" t="n"/>
      <c r="AD21" s="2" t="n"/>
      <c r="AE21" s="4">
        <f>SUM(O21:V21)</f>
        <v/>
      </c>
      <c r="AF21" s="4">
        <f>SUM(W21:AC21)</f>
        <v/>
      </c>
      <c r="AG21" s="4">
        <f>SUM(O21:AD21)</f>
        <v/>
      </c>
      <c r="AH21" s="2">
        <f>IF(AG21="","",IF(AG21&lt;=26,"Very Poor",IF(AG21&lt;=38,"Poor",IF(AG21&lt;=50,"Fair",IF(AG21&lt;=62,"Good","Excellent")))))</f>
        <v/>
      </c>
      <c r="AI21" s="2" t="n"/>
      <c r="AJ21" s="2" t="n"/>
      <c r="AK21" s="2" t="n"/>
      <c r="AL21" s="2" t="n"/>
      <c r="AM21" s="4">
        <f>COUNTIF(AI21:AL21,"Y")</f>
        <v/>
      </c>
      <c r="AN21" s="2" t="n"/>
    </row>
    <row r="22">
      <c r="A22" s="2" t="inlineStr">
        <is>
          <t>WEB-21</t>
        </is>
      </c>
      <c r="B22" s="2" t="inlineStr">
        <is>
          <t>Website</t>
        </is>
      </c>
      <c r="C22" s="2" t="inlineStr">
        <is>
          <t>strength training for beginners</t>
        </is>
      </c>
      <c r="D22" s="2" t="inlineStr">
        <is>
          <t>https://www.nytimes.com/2026/01/10/well/move/strength-training-isometric-exercises.html</t>
        </is>
      </c>
      <c r="E22" s="2" t="inlineStr">
        <is>
          <t>"A Beginner Strength Workout</t>
        </is>
      </c>
      <c r="F22" s="2" t="inlineStr">
        <is>
          <t>No Equipment Required"</t>
        </is>
      </c>
      <c r="G22" s="2" t="n"/>
      <c r="H22" s="3" t="n"/>
      <c r="I22" s="4" t="n"/>
      <c r="J22" s="4" t="n"/>
      <c r="K22" s="4" t="n"/>
      <c r="L22" s="4" t="n"/>
      <c r="M22" s="2" t="n"/>
      <c r="N22" s="2" t="n"/>
      <c r="O22" s="2" t="n"/>
      <c r="P22" s="2" t="n"/>
      <c r="Q22" s="2" t="n"/>
      <c r="R22" s="2" t="n"/>
      <c r="S22" s="2" t="n"/>
      <c r="T22" s="2" t="n"/>
      <c r="U22" s="2" t="n"/>
      <c r="V22" s="2" t="n"/>
      <c r="W22" s="2" t="n"/>
      <c r="X22" s="2" t="n"/>
      <c r="Y22" s="2" t="n"/>
      <c r="Z22" s="2" t="n"/>
      <c r="AA22" s="2" t="n"/>
      <c r="AB22" s="2" t="n"/>
      <c r="AC22" s="2" t="n"/>
      <c r="AD22" s="2" t="n"/>
      <c r="AE22" s="4">
        <f>SUM(O22:V22)</f>
        <v/>
      </c>
      <c r="AF22" s="4">
        <f>SUM(W22:AC22)</f>
        <v/>
      </c>
      <c r="AG22" s="4">
        <f>SUM(O22:AD22)</f>
        <v/>
      </c>
      <c r="AH22" s="2">
        <f>IF(AG22="","",IF(AG22&lt;=26,"Very Poor",IF(AG22&lt;=38,"Poor",IF(AG22&lt;=50,"Fair",IF(AG22&lt;=62,"Good","Excellent")))))</f>
        <v/>
      </c>
      <c r="AI22" s="2" t="n"/>
      <c r="AJ22" s="2" t="n"/>
      <c r="AK22" s="2" t="n"/>
      <c r="AL22" s="2" t="n"/>
      <c r="AM22" s="4">
        <f>COUNTIF(AI22:AL22,"Y")</f>
        <v/>
      </c>
      <c r="AN22" s="2" t="n"/>
    </row>
    <row r="23">
      <c r="A23" s="2" t="inlineStr">
        <is>
          <t>WEB-22</t>
        </is>
      </c>
      <c r="B23" s="2" t="inlineStr">
        <is>
          <t>Website</t>
        </is>
      </c>
      <c r="C23" s="2" t="inlineStr">
        <is>
          <t>strength training for beginners</t>
        </is>
      </c>
      <c r="D23" s="2" t="inlineStr">
        <is>
          <t>https://www.healthdirect.gov.au/strength-training-for-beginners</t>
        </is>
      </c>
      <c r="E23" s="2" t="inlineStr">
        <is>
          <t>Strength training for beginners</t>
        </is>
      </c>
      <c r="F23" s="2" t="inlineStr">
        <is>
          <t>https://www.healthdirect.gov.au › strength-training-for-...</t>
        </is>
      </c>
      <c r="G23" s="2" t="n"/>
      <c r="H23" s="3" t="n"/>
      <c r="I23" s="4" t="n"/>
      <c r="J23" s="4" t="n"/>
      <c r="K23" s="4" t="n"/>
      <c r="L23" s="4" t="n"/>
      <c r="M23" s="2" t="n"/>
      <c r="N23" s="2" t="n"/>
      <c r="O23" s="2" t="n"/>
      <c r="P23" s="2" t="n"/>
      <c r="Q23" s="2" t="n"/>
      <c r="R23" s="2" t="n"/>
      <c r="S23" s="2" t="n"/>
      <c r="T23" s="2" t="n"/>
      <c r="U23" s="2" t="n"/>
      <c r="V23" s="2" t="n"/>
      <c r="W23" s="2" t="n"/>
      <c r="X23" s="2" t="n"/>
      <c r="Y23" s="2" t="n"/>
      <c r="Z23" s="2" t="n"/>
      <c r="AA23" s="2" t="n"/>
      <c r="AB23" s="2" t="n"/>
      <c r="AC23" s="2" t="n"/>
      <c r="AD23" s="2" t="n"/>
      <c r="AE23" s="4">
        <f>SUM(O23:V23)</f>
        <v/>
      </c>
      <c r="AF23" s="4">
        <f>SUM(W23:AC23)</f>
        <v/>
      </c>
      <c r="AG23" s="4">
        <f>SUM(O23:AD23)</f>
        <v/>
      </c>
      <c r="AH23" s="2">
        <f>IF(AG23="","",IF(AG23&lt;=26,"Very Poor",IF(AG23&lt;=38,"Poor",IF(AG23&lt;=50,"Fair",IF(AG23&lt;=62,"Good","Excellent")))))</f>
        <v/>
      </c>
      <c r="AI23" s="2" t="n"/>
      <c r="AJ23" s="2" t="n"/>
      <c r="AK23" s="2" t="n"/>
      <c r="AL23" s="2" t="n"/>
      <c r="AM23" s="4">
        <f>COUNTIF(AI23:AL23,"Y")</f>
        <v/>
      </c>
      <c r="AN23" s="2" t="n"/>
    </row>
    <row r="24">
      <c r="A24" s="2" t="inlineStr">
        <is>
          <t>WEB-23</t>
        </is>
      </c>
      <c r="B24" s="2" t="inlineStr">
        <is>
          <t>Website</t>
        </is>
      </c>
      <c r="C24" s="2" t="inlineStr">
        <is>
          <t>strength training for beginners</t>
        </is>
      </c>
      <c r="D24" s="2" t="inlineStr">
        <is>
          <t>https://www.goldsgym.com/blog/beginner-gym-workout-for-strength-training/</t>
        </is>
      </c>
      <c r="E24" s="2" t="inlineStr">
        <is>
          <t>Gym Workouts for Beginners — Strength Training</t>
        </is>
      </c>
      <c r="F24" s="2" t="inlineStr">
        <is>
          <t>https://www.goldsgym.com › blog › beginner-gym-wor...</t>
        </is>
      </c>
      <c r="G24" s="2" t="n"/>
      <c r="H24" s="3" t="n"/>
      <c r="I24" s="4" t="n"/>
      <c r="J24" s="4" t="n"/>
      <c r="K24" s="4" t="n"/>
      <c r="L24" s="4" t="n"/>
      <c r="M24" s="2" t="n"/>
      <c r="N24" s="2" t="n"/>
      <c r="O24" s="2" t="n"/>
      <c r="P24" s="2" t="n"/>
      <c r="Q24" s="2" t="n"/>
      <c r="R24" s="2" t="n"/>
      <c r="S24" s="2" t="n"/>
      <c r="T24" s="2" t="n"/>
      <c r="U24" s="2" t="n"/>
      <c r="V24" s="2" t="n"/>
      <c r="W24" s="2" t="n"/>
      <c r="X24" s="2" t="n"/>
      <c r="Y24" s="2" t="n"/>
      <c r="Z24" s="2" t="n"/>
      <c r="AA24" s="2" t="n"/>
      <c r="AB24" s="2" t="n"/>
      <c r="AC24" s="2" t="n"/>
      <c r="AD24" s="2" t="n"/>
      <c r="AE24" s="4">
        <f>SUM(O24:V24)</f>
        <v/>
      </c>
      <c r="AF24" s="4">
        <f>SUM(W24:AC24)</f>
        <v/>
      </c>
      <c r="AG24" s="4">
        <f>SUM(O24:AD24)</f>
        <v/>
      </c>
      <c r="AH24" s="2">
        <f>IF(AG24="","",IF(AG24&lt;=26,"Very Poor",IF(AG24&lt;=38,"Poor",IF(AG24&lt;=50,"Fair",IF(AG24&lt;=62,"Good","Excellent")))))</f>
        <v/>
      </c>
      <c r="AI24" s="2" t="n"/>
      <c r="AJ24" s="2" t="n"/>
      <c r="AK24" s="2" t="n"/>
      <c r="AL24" s="2" t="n"/>
      <c r="AM24" s="4">
        <f>COUNTIF(AI24:AL24,"Y")</f>
        <v/>
      </c>
      <c r="AN24" s="2" t="n"/>
    </row>
    <row r="25">
      <c r="A25" s="2" t="inlineStr">
        <is>
          <t>WEB-24</t>
        </is>
      </c>
      <c r="B25" s="2" t="inlineStr">
        <is>
          <t>Website</t>
        </is>
      </c>
      <c r="C25" s="2" t="inlineStr">
        <is>
          <t>strength training for beginners</t>
        </is>
      </c>
      <c r="D25" s="2" t="inlineStr">
        <is>
          <t>https://www.self.com/story/8-strength-exercises</t>
        </is>
      </c>
      <c r="E25" s="2" t="inlineStr">
        <is>
          <t>The 8 Best Strength-Training Exercises for Beginners</t>
        </is>
      </c>
      <c r="F25" s="2" t="inlineStr">
        <is>
          <t>https://www.self.com › Fitness › strength training</t>
        </is>
      </c>
      <c r="G25" s="2" t="n"/>
      <c r="H25" s="3" t="n"/>
      <c r="I25" s="4" t="n"/>
      <c r="J25" s="4" t="n"/>
      <c r="K25" s="4" t="n"/>
      <c r="L25" s="4" t="n"/>
      <c r="M25" s="2" t="n"/>
      <c r="N25" s="2" t="n"/>
      <c r="O25" s="2" t="n"/>
      <c r="P25" s="2" t="n"/>
      <c r="Q25" s="2" t="n"/>
      <c r="R25" s="2" t="n"/>
      <c r="S25" s="2" t="n"/>
      <c r="T25" s="2" t="n"/>
      <c r="U25" s="2" t="n"/>
      <c r="V25" s="2" t="n"/>
      <c r="W25" s="2" t="n"/>
      <c r="X25" s="2" t="n"/>
      <c r="Y25" s="2" t="n"/>
      <c r="Z25" s="2" t="n"/>
      <c r="AA25" s="2" t="n"/>
      <c r="AB25" s="2" t="n"/>
      <c r="AC25" s="2" t="n"/>
      <c r="AD25" s="2" t="n"/>
      <c r="AE25" s="4">
        <f>SUM(O25:V25)</f>
        <v/>
      </c>
      <c r="AF25" s="4">
        <f>SUM(W25:AC25)</f>
        <v/>
      </c>
      <c r="AG25" s="4">
        <f>SUM(O25:AD25)</f>
        <v/>
      </c>
      <c r="AH25" s="2">
        <f>IF(AG25="","",IF(AG25&lt;=26,"Very Poor",IF(AG25&lt;=38,"Poor",IF(AG25&lt;=50,"Fair",IF(AG25&lt;=62,"Good","Excellent")))))</f>
        <v/>
      </c>
      <c r="AI25" s="2" t="n"/>
      <c r="AJ25" s="2" t="n"/>
      <c r="AK25" s="2" t="n"/>
      <c r="AL25" s="2" t="n"/>
      <c r="AM25" s="4">
        <f>COUNTIF(AI25:AL25,"Y")</f>
        <v/>
      </c>
      <c r="AN25" s="2" t="n"/>
    </row>
    <row r="26">
      <c r="A26" s="2" t="inlineStr">
        <is>
          <t>WEB-25</t>
        </is>
      </c>
      <c r="B26" s="2" t="inlineStr">
        <is>
          <t>Website</t>
        </is>
      </c>
      <c r="C26" s="2" t="inlineStr">
        <is>
          <t>strength training for beginners</t>
        </is>
      </c>
      <c r="D26" s="2" t="inlineStr">
        <is>
          <t>https://www.nerdfitness.com/blog/strength-training-101-where-do-i-start/</t>
        </is>
      </c>
      <c r="E26" s="2" t="inlineStr">
        <is>
          <t>5 Strength Training Workouts (for Beginners)</t>
        </is>
      </c>
      <c r="F26" s="2" t="inlineStr">
        <is>
          <t>https://www.nerdfitness.com › Weight Loss</t>
        </is>
      </c>
      <c r="G26" s="2" t="n"/>
      <c r="H26" s="3" t="n"/>
      <c r="I26" s="4" t="n"/>
      <c r="J26" s="4" t="n"/>
      <c r="K26" s="4" t="n"/>
      <c r="L26" s="4" t="n"/>
      <c r="M26" s="2" t="n"/>
      <c r="N26" s="2" t="n"/>
      <c r="O26" s="2" t="n"/>
      <c r="P26" s="2" t="n"/>
      <c r="Q26" s="2" t="n"/>
      <c r="R26" s="2" t="n"/>
      <c r="S26" s="2" t="n"/>
      <c r="T26" s="2" t="n"/>
      <c r="U26" s="2" t="n"/>
      <c r="V26" s="2" t="n"/>
      <c r="W26" s="2" t="n"/>
      <c r="X26" s="2" t="n"/>
      <c r="Y26" s="2" t="n"/>
      <c r="Z26" s="2" t="n"/>
      <c r="AA26" s="2" t="n"/>
      <c r="AB26" s="2" t="n"/>
      <c r="AC26" s="2" t="n"/>
      <c r="AD26" s="2" t="n"/>
      <c r="AE26" s="4">
        <f>SUM(O26:V26)</f>
        <v/>
      </c>
      <c r="AF26" s="4">
        <f>SUM(W26:AC26)</f>
        <v/>
      </c>
      <c r="AG26" s="4">
        <f>SUM(O26:AD26)</f>
        <v/>
      </c>
      <c r="AH26" s="2">
        <f>IF(AG26="","",IF(AG26&lt;=26,"Very Poor",IF(AG26&lt;=38,"Poor",IF(AG26&lt;=50,"Fair",IF(AG26&lt;=62,"Good","Excellent")))))</f>
        <v/>
      </c>
      <c r="AI26" s="2" t="n"/>
      <c r="AJ26" s="2" t="n"/>
      <c r="AK26" s="2" t="n"/>
      <c r="AL26" s="2" t="n"/>
      <c r="AM26" s="4">
        <f>COUNTIF(AI26:AL26,"Y")</f>
        <v/>
      </c>
      <c r="AN26" s="2" t="n"/>
    </row>
    <row r="27">
      <c r="A27" s="2" t="inlineStr">
        <is>
          <t>WEB-26</t>
        </is>
      </c>
      <c r="B27" s="2" t="inlineStr">
        <is>
          <t>Website</t>
        </is>
      </c>
      <c r="C27" s="2" t="inlineStr">
        <is>
          <t>strength training for beginners</t>
        </is>
      </c>
      <c r="D27" s="2" t="inlineStr">
        <is>
          <t>https://www.verywellfit.com/complete-beginners-guide-to-strength-training-1229585</t>
        </is>
      </c>
      <c r="E27" s="2" t="inlineStr">
        <is>
          <t>Strength Training: A Beginner's Guide to Getting Stronger</t>
        </is>
      </c>
      <c r="F27" s="2" t="inlineStr">
        <is>
          <t>https://www.verywellfit.com › complete-beginners-guid...</t>
        </is>
      </c>
      <c r="G27" s="2" t="n"/>
      <c r="H27" s="3" t="n"/>
      <c r="I27" s="4" t="n"/>
      <c r="J27" s="4" t="n"/>
      <c r="K27" s="4" t="n"/>
      <c r="L27" s="4" t="n"/>
      <c r="M27" s="2" t="n"/>
      <c r="N27" s="2" t="n"/>
      <c r="O27" s="2" t="n"/>
      <c r="P27" s="2" t="n"/>
      <c r="Q27" s="2" t="n"/>
      <c r="R27" s="2" t="n"/>
      <c r="S27" s="2" t="n"/>
      <c r="T27" s="2" t="n"/>
      <c r="U27" s="2" t="n"/>
      <c r="V27" s="2" t="n"/>
      <c r="W27" s="2" t="n"/>
      <c r="X27" s="2" t="n"/>
      <c r="Y27" s="2" t="n"/>
      <c r="Z27" s="2" t="n"/>
      <c r="AA27" s="2" t="n"/>
      <c r="AB27" s="2" t="n"/>
      <c r="AC27" s="2" t="n"/>
      <c r="AD27" s="2" t="n"/>
      <c r="AE27" s="4">
        <f>SUM(O27:V27)</f>
        <v/>
      </c>
      <c r="AF27" s="4">
        <f>SUM(W27:AC27)</f>
        <v/>
      </c>
      <c r="AG27" s="4">
        <f>SUM(O27:AD27)</f>
        <v/>
      </c>
      <c r="AH27" s="2">
        <f>IF(AG27="","",IF(AG27&lt;=26,"Very Poor",IF(AG27&lt;=38,"Poor",IF(AG27&lt;=50,"Fair",IF(AG27&lt;=62,"Good","Excellent")))))</f>
        <v/>
      </c>
      <c r="AI27" s="2" t="n"/>
      <c r="AJ27" s="2" t="n"/>
      <c r="AK27" s="2" t="n"/>
      <c r="AL27" s="2" t="n"/>
      <c r="AM27" s="4">
        <f>COUNTIF(AI27:AL27,"Y")</f>
        <v/>
      </c>
      <c r="AN27" s="2" t="n"/>
    </row>
    <row r="28">
      <c r="A28" s="2" t="inlineStr">
        <is>
          <t>WEB-27</t>
        </is>
      </c>
      <c r="B28" s="2" t="inlineStr">
        <is>
          <t>Website</t>
        </is>
      </c>
      <c r="C28" s="2" t="inlineStr">
        <is>
          <t>strength training for beginners</t>
        </is>
      </c>
      <c r="D28" s="2" t="inlineStr">
        <is>
          <t>https://www.westside-barbell.com/blogs/the-blog/strength-training-for-beginners-a-westside-barbell-guide?srsltid=AfmBOop9ghj11_ceSC93CrjeKcji_cPZRoff9c98pojuEztU83bGFzAT</t>
        </is>
      </c>
      <c r="E28" s="2" t="inlineStr">
        <is>
          <t>Strength Training for Beginners: A Westside Barbell Guide</t>
        </is>
      </c>
      <c r="F28" s="2" t="inlineStr">
        <is>
          <t>https://www.westside-barbell.com › blogs › the-blog › str...</t>
        </is>
      </c>
      <c r="G28" s="2" t="n"/>
      <c r="H28" s="3" t="n"/>
      <c r="I28" s="4" t="n"/>
      <c r="J28" s="4" t="n"/>
      <c r="K28" s="4" t="n"/>
      <c r="L28" s="4" t="n"/>
      <c r="M28" s="2" t="n"/>
      <c r="N28" s="2" t="n"/>
      <c r="O28" s="2" t="n"/>
      <c r="P28" s="2" t="n"/>
      <c r="Q28" s="2" t="n"/>
      <c r="R28" s="2" t="n"/>
      <c r="S28" s="2" t="n"/>
      <c r="T28" s="2" t="n"/>
      <c r="U28" s="2" t="n"/>
      <c r="V28" s="2" t="n"/>
      <c r="W28" s="2" t="n"/>
      <c r="X28" s="2" t="n"/>
      <c r="Y28" s="2" t="n"/>
      <c r="Z28" s="2" t="n"/>
      <c r="AA28" s="2" t="n"/>
      <c r="AB28" s="2" t="n"/>
      <c r="AC28" s="2" t="n"/>
      <c r="AD28" s="2" t="n"/>
      <c r="AE28" s="4">
        <f>SUM(O28:V28)</f>
        <v/>
      </c>
      <c r="AF28" s="4">
        <f>SUM(W28:AC28)</f>
        <v/>
      </c>
      <c r="AG28" s="4">
        <f>SUM(O28:AD28)</f>
        <v/>
      </c>
      <c r="AH28" s="2">
        <f>IF(AG28="","",IF(AG28&lt;=26,"Very Poor",IF(AG28&lt;=38,"Poor",IF(AG28&lt;=50,"Fair",IF(AG28&lt;=62,"Good","Excellent")))))</f>
        <v/>
      </c>
      <c r="AI28" s="2" t="n"/>
      <c r="AJ28" s="2" t="n"/>
      <c r="AK28" s="2" t="n"/>
      <c r="AL28" s="2" t="n"/>
      <c r="AM28" s="4">
        <f>COUNTIF(AI28:AL28,"Y")</f>
        <v/>
      </c>
      <c r="AN28" s="2" t="n"/>
    </row>
    <row r="29">
      <c r="A29" s="2" t="inlineStr">
        <is>
          <t>WEB-28</t>
        </is>
      </c>
      <c r="B29" s="2" t="inlineStr">
        <is>
          <t>Website</t>
        </is>
      </c>
      <c r="C29" s="2" t="inlineStr">
        <is>
          <t>strength training for beginners</t>
        </is>
      </c>
      <c r="D29" s="2" t="inlineStr">
        <is>
          <t>https://www.planetfitness.com/blog/articles/beginner-workout-plan-your-first-week-gym</t>
        </is>
      </c>
      <c r="E29" s="2" t="inlineStr">
        <is>
          <t>A Beginner Workout Plan for Your First Week in the Gym</t>
        </is>
      </c>
      <c r="F29" s="2" t="inlineStr">
        <is>
          <t>https://www.planetfitness.com › blog › articles › beginn...</t>
        </is>
      </c>
      <c r="G29" s="2" t="n"/>
      <c r="H29" s="3" t="n"/>
      <c r="I29" s="4" t="n"/>
      <c r="J29" s="4" t="n"/>
      <c r="K29" s="4" t="n"/>
      <c r="L29" s="4" t="n"/>
      <c r="M29" s="2" t="n"/>
      <c r="N29" s="2" t="n"/>
      <c r="O29" s="2" t="n"/>
      <c r="P29" s="2" t="n"/>
      <c r="Q29" s="2" t="n"/>
      <c r="R29" s="2" t="n"/>
      <c r="S29" s="2" t="n"/>
      <c r="T29" s="2" t="n"/>
      <c r="U29" s="2" t="n"/>
      <c r="V29" s="2" t="n"/>
      <c r="W29" s="2" t="n"/>
      <c r="X29" s="2" t="n"/>
      <c r="Y29" s="2" t="n"/>
      <c r="Z29" s="2" t="n"/>
      <c r="AA29" s="2" t="n"/>
      <c r="AB29" s="2" t="n"/>
      <c r="AC29" s="2" t="n"/>
      <c r="AD29" s="2" t="n"/>
      <c r="AE29" s="4">
        <f>SUM(O29:V29)</f>
        <v/>
      </c>
      <c r="AF29" s="4">
        <f>SUM(W29:AC29)</f>
        <v/>
      </c>
      <c r="AG29" s="4">
        <f>SUM(O29:AD29)</f>
        <v/>
      </c>
      <c r="AH29" s="2">
        <f>IF(AG29="","",IF(AG29&lt;=26,"Very Poor",IF(AG29&lt;=38,"Poor",IF(AG29&lt;=50,"Fair",IF(AG29&lt;=62,"Good","Excellent")))))</f>
        <v/>
      </c>
      <c r="AI29" s="2" t="n"/>
      <c r="AJ29" s="2" t="n"/>
      <c r="AK29" s="2" t="n"/>
      <c r="AL29" s="2" t="n"/>
      <c r="AM29" s="4">
        <f>COUNTIF(AI29:AL29,"Y")</f>
        <v/>
      </c>
      <c r="AN29" s="2" t="n"/>
    </row>
    <row r="30">
      <c r="A30" s="2" t="inlineStr">
        <is>
          <t>WEB-29</t>
        </is>
      </c>
      <c r="B30" s="2" t="inlineStr">
        <is>
          <t>Website</t>
        </is>
      </c>
      <c r="C30" s="2" t="inlineStr">
        <is>
          <t>strength training for beginners</t>
        </is>
      </c>
      <c r="D30" s="2" t="inlineStr">
        <is>
          <t>https://www.reddit.com/r/workout/comments/1ik4rw5/my_simple_routine_that_i_would_recommend_to_all/</t>
        </is>
      </c>
      <c r="E30" s="2" t="inlineStr">
        <is>
          <t>My simple routine that I would recommend to ALL ...</t>
        </is>
      </c>
      <c r="F30" s="2" t="inlineStr">
        <is>
          <t>Reddit › r/workout</t>
        </is>
      </c>
      <c r="G30" s="2" t="n"/>
      <c r="H30" s="3" t="n"/>
      <c r="I30" s="4" t="n"/>
      <c r="J30" s="4" t="n"/>
      <c r="K30" s="4" t="n"/>
      <c r="L30" s="4" t="n"/>
      <c r="M30" s="2" t="n"/>
      <c r="N30" s="2" t="n"/>
      <c r="O30" s="2" t="n"/>
      <c r="P30" s="2" t="n"/>
      <c r="Q30" s="2" t="n"/>
      <c r="R30" s="2" t="n"/>
      <c r="S30" s="2" t="n"/>
      <c r="T30" s="2" t="n"/>
      <c r="U30" s="2" t="n"/>
      <c r="V30" s="2" t="n"/>
      <c r="W30" s="2" t="n"/>
      <c r="X30" s="2" t="n"/>
      <c r="Y30" s="2" t="n"/>
      <c r="Z30" s="2" t="n"/>
      <c r="AA30" s="2" t="n"/>
      <c r="AB30" s="2" t="n"/>
      <c r="AC30" s="2" t="n"/>
      <c r="AD30" s="2" t="n"/>
      <c r="AE30" s="4">
        <f>SUM(O30:V30)</f>
        <v/>
      </c>
      <c r="AF30" s="4">
        <f>SUM(W30:AC30)</f>
        <v/>
      </c>
      <c r="AG30" s="4">
        <f>SUM(O30:AD30)</f>
        <v/>
      </c>
      <c r="AH30" s="2">
        <f>IF(AG30="","",IF(AG30&lt;=26,"Very Poor",IF(AG30&lt;=38,"Poor",IF(AG30&lt;=50,"Fair",IF(AG30&lt;=62,"Good","Excellent")))))</f>
        <v/>
      </c>
      <c r="AI30" s="2" t="n"/>
      <c r="AJ30" s="2" t="n"/>
      <c r="AK30" s="2" t="n"/>
      <c r="AL30" s="2" t="n"/>
      <c r="AM30" s="4">
        <f>COUNTIF(AI30:AL30,"Y")</f>
        <v/>
      </c>
      <c r="AN30" s="2" t="n"/>
    </row>
    <row r="31">
      <c r="A31" s="2" t="inlineStr">
        <is>
          <t>WEB-30</t>
        </is>
      </c>
      <c r="B31" s="2" t="inlineStr">
        <is>
          <t>Website</t>
        </is>
      </c>
      <c r="C31" s="2" t="inlineStr">
        <is>
          <t>strength training for beginners</t>
        </is>
      </c>
      <c r="D31" s="2" t="inlineStr">
        <is>
          <t>https://hydrow.com/blog/12-beginner-strength-training-exercises-to-add-to-your-workout-routine/</t>
        </is>
      </c>
      <c r="E31" s="2" t="inlineStr">
        <is>
          <t>12 Beginner Strength-Training Exercises to Add to Your ...</t>
        </is>
      </c>
      <c r="F31" s="2" t="inlineStr">
        <is>
          <t>https://hydrow.com › blog › 12-beginner-strength-traini...</t>
        </is>
      </c>
      <c r="G31" s="2" t="n"/>
      <c r="H31" s="3" t="n"/>
      <c r="I31" s="4" t="n"/>
      <c r="J31" s="4" t="n"/>
      <c r="K31" s="4" t="n"/>
      <c r="L31" s="4" t="n"/>
      <c r="M31" s="2" t="n"/>
      <c r="N31" s="2" t="n"/>
      <c r="O31" s="2" t="n"/>
      <c r="P31" s="2" t="n"/>
      <c r="Q31" s="2" t="n"/>
      <c r="R31" s="2" t="n"/>
      <c r="S31" s="2" t="n"/>
      <c r="T31" s="2" t="n"/>
      <c r="U31" s="2" t="n"/>
      <c r="V31" s="2" t="n"/>
      <c r="W31" s="2" t="n"/>
      <c r="X31" s="2" t="n"/>
      <c r="Y31" s="2" t="n"/>
      <c r="Z31" s="2" t="n"/>
      <c r="AA31" s="2" t="n"/>
      <c r="AB31" s="2" t="n"/>
      <c r="AC31" s="2" t="n"/>
      <c r="AD31" s="2" t="n"/>
      <c r="AE31" s="4">
        <f>SUM(O31:V31)</f>
        <v/>
      </c>
      <c r="AF31" s="4">
        <f>SUM(W31:AC31)</f>
        <v/>
      </c>
      <c r="AG31" s="4">
        <f>SUM(O31:AD31)</f>
        <v/>
      </c>
      <c r="AH31" s="2">
        <f>IF(AG31="","",IF(AG31&lt;=26,"Very Poor",IF(AG31&lt;=38,"Poor",IF(AG31&lt;=50,"Fair",IF(AG31&lt;=62,"Good","Excellent")))))</f>
        <v/>
      </c>
      <c r="AI31" s="2" t="n"/>
      <c r="AJ31" s="2" t="n"/>
      <c r="AK31" s="2" t="n"/>
      <c r="AL31" s="2" t="n"/>
      <c r="AM31" s="4">
        <f>COUNTIF(AI31:AL31,"Y")</f>
        <v/>
      </c>
      <c r="AN31" s="2" t="n"/>
    </row>
    <row r="32">
      <c r="A32" s="2" t="inlineStr">
        <is>
          <t>WEB-31</t>
        </is>
      </c>
      <c r="B32" s="2" t="inlineStr">
        <is>
          <t>Website</t>
        </is>
      </c>
      <c r="C32" s="2" t="inlineStr">
        <is>
          <t>physical activity guidelines</t>
        </is>
      </c>
      <c r="D32" s="2" t="inlineStr">
        <is>
          <t>https://odphp.health.gov/our-work/nutrition-physical-activity/physical-activity-guidelines</t>
        </is>
      </c>
      <c r="E32" s="2" t="inlineStr">
        <is>
          <t>Physical Activity Guidelines for Americans | odphp.health.gov</t>
        </is>
      </c>
      <c r="F32" s="2" t="inlineStr">
        <is>
          <t>https://odphp.health.gov › nutrition-physical-activity › p...</t>
        </is>
      </c>
      <c r="G32" s="2" t="n"/>
      <c r="H32" s="3" t="n"/>
      <c r="I32" s="4" t="n"/>
      <c r="J32" s="4" t="n"/>
      <c r="K32" s="4" t="n"/>
      <c r="L32" s="4" t="n"/>
      <c r="M32" s="2" t="n"/>
      <c r="N32" s="2" t="n"/>
      <c r="O32" s="2" t="n"/>
      <c r="P32" s="2" t="n"/>
      <c r="Q32" s="2" t="n"/>
      <c r="R32" s="2" t="n"/>
      <c r="S32" s="2" t="n"/>
      <c r="T32" s="2" t="n"/>
      <c r="U32" s="2" t="n"/>
      <c r="V32" s="2" t="n"/>
      <c r="W32" s="2" t="n"/>
      <c r="X32" s="2" t="n"/>
      <c r="Y32" s="2" t="n"/>
      <c r="Z32" s="2" t="n"/>
      <c r="AA32" s="2" t="n"/>
      <c r="AB32" s="2" t="n"/>
      <c r="AC32" s="2" t="n"/>
      <c r="AD32" s="2" t="n"/>
      <c r="AE32" s="4">
        <f>SUM(O32:V32)</f>
        <v/>
      </c>
      <c r="AF32" s="4">
        <f>SUM(W32:AC32)</f>
        <v/>
      </c>
      <c r="AG32" s="4">
        <f>SUM(O32:AD32)</f>
        <v/>
      </c>
      <c r="AH32" s="2">
        <f>IF(AG32="","",IF(AG32&lt;=26,"Very Poor",IF(AG32&lt;=38,"Poor",IF(AG32&lt;=50,"Fair",IF(AG32&lt;=62,"Good","Excellent")))))</f>
        <v/>
      </c>
      <c r="AI32" s="2" t="n"/>
      <c r="AJ32" s="2" t="n"/>
      <c r="AK32" s="2" t="n"/>
      <c r="AL32" s="2" t="n"/>
      <c r="AM32" s="4">
        <f>COUNTIF(AI32:AL32,"Y")</f>
        <v/>
      </c>
      <c r="AN32" s="2" t="n"/>
    </row>
    <row r="33">
      <c r="A33" s="2" t="inlineStr">
        <is>
          <t>WEB-32</t>
        </is>
      </c>
      <c r="B33" s="2" t="inlineStr">
        <is>
          <t>Website</t>
        </is>
      </c>
      <c r="C33" s="2" t="inlineStr">
        <is>
          <t>physical activity guidelines</t>
        </is>
      </c>
      <c r="D33" s="2" t="inlineStr">
        <is>
          <t>https://www.heart.org/en/healthy-living/fitness/fitness-basics/aha-recs-for-physical-activity-in-adults</t>
        </is>
      </c>
      <c r="E33" s="2" t="inlineStr">
        <is>
          <t>AHA Physical Activity Recommendations ...</t>
        </is>
      </c>
      <c r="F33" s="2" t="inlineStr">
        <is>
          <t>https://www.heart.org › fitness › fitness-basics › aha-recs...</t>
        </is>
      </c>
      <c r="G33" s="2" t="n"/>
      <c r="H33" s="3" t="n"/>
      <c r="I33" s="4" t="n"/>
      <c r="J33" s="4" t="n"/>
      <c r="K33" s="4" t="n"/>
      <c r="L33" s="4" t="n"/>
      <c r="M33" s="2" t="n"/>
      <c r="N33" s="2" t="n"/>
      <c r="O33" s="2" t="n"/>
      <c r="P33" s="2" t="n"/>
      <c r="Q33" s="2" t="n"/>
      <c r="R33" s="2" t="n"/>
      <c r="S33" s="2" t="n"/>
      <c r="T33" s="2" t="n"/>
      <c r="U33" s="2" t="n"/>
      <c r="V33" s="2" t="n"/>
      <c r="W33" s="2" t="n"/>
      <c r="X33" s="2" t="n"/>
      <c r="Y33" s="2" t="n"/>
      <c r="Z33" s="2" t="n"/>
      <c r="AA33" s="2" t="n"/>
      <c r="AB33" s="2" t="n"/>
      <c r="AC33" s="2" t="n"/>
      <c r="AD33" s="2" t="n"/>
      <c r="AE33" s="4">
        <f>SUM(O33:V33)</f>
        <v/>
      </c>
      <c r="AF33" s="4">
        <f>SUM(W33:AC33)</f>
        <v/>
      </c>
      <c r="AG33" s="4">
        <f>SUM(O33:AD33)</f>
        <v/>
      </c>
      <c r="AH33" s="2">
        <f>IF(AG33="","",IF(AG33&lt;=26,"Very Poor",IF(AG33&lt;=38,"Poor",IF(AG33&lt;=50,"Fair",IF(AG33&lt;=62,"Good","Excellent")))))</f>
        <v/>
      </c>
      <c r="AI33" s="2" t="n"/>
      <c r="AJ33" s="2" t="n"/>
      <c r="AK33" s="2" t="n"/>
      <c r="AL33" s="2" t="n"/>
      <c r="AM33" s="4">
        <f>COUNTIF(AI33:AL33,"Y")</f>
        <v/>
      </c>
      <c r="AN33" s="2" t="n"/>
    </row>
    <row r="34">
      <c r="A34" s="2" t="inlineStr">
        <is>
          <t>WEB-33</t>
        </is>
      </c>
      <c r="B34" s="2" t="inlineStr">
        <is>
          <t>Website</t>
        </is>
      </c>
      <c r="C34" s="2" t="inlineStr">
        <is>
          <t>physical activity guidelines</t>
        </is>
      </c>
      <c r="D34" s="2" t="inlineStr">
        <is>
          <t>https://www.cdc.gov/physical-activity-basics/guidelines/adults.html</t>
        </is>
      </c>
      <c r="E34" s="2" t="inlineStr">
        <is>
          <t>Adult Activity: An Overview | Physical Activity Basics</t>
        </is>
      </c>
      <c r="F34" s="2" t="inlineStr">
        <is>
          <t>https://www.cdc.gov › guidelines › adults</t>
        </is>
      </c>
      <c r="G34" s="2" t="n"/>
      <c r="H34" s="3" t="n"/>
      <c r="I34" s="4" t="n"/>
      <c r="J34" s="4" t="n"/>
      <c r="K34" s="4" t="n"/>
      <c r="L34" s="4" t="n"/>
      <c r="M34" s="2" t="n"/>
      <c r="N34" s="2" t="n"/>
      <c r="O34" s="2" t="n"/>
      <c r="P34" s="2" t="n"/>
      <c r="Q34" s="2" t="n"/>
      <c r="R34" s="2" t="n"/>
      <c r="S34" s="2" t="n"/>
      <c r="T34" s="2" t="n"/>
      <c r="U34" s="2" t="n"/>
      <c r="V34" s="2" t="n"/>
      <c r="W34" s="2" t="n"/>
      <c r="X34" s="2" t="n"/>
      <c r="Y34" s="2" t="n"/>
      <c r="Z34" s="2" t="n"/>
      <c r="AA34" s="2" t="n"/>
      <c r="AB34" s="2" t="n"/>
      <c r="AC34" s="2" t="n"/>
      <c r="AD34" s="2" t="n"/>
      <c r="AE34" s="4">
        <f>SUM(O34:V34)</f>
        <v/>
      </c>
      <c r="AF34" s="4">
        <f>SUM(W34:AC34)</f>
        <v/>
      </c>
      <c r="AG34" s="4">
        <f>SUM(O34:AD34)</f>
        <v/>
      </c>
      <c r="AH34" s="2">
        <f>IF(AG34="","",IF(AG34&lt;=26,"Very Poor",IF(AG34&lt;=38,"Poor",IF(AG34&lt;=50,"Fair",IF(AG34&lt;=62,"Good","Excellent")))))</f>
        <v/>
      </c>
      <c r="AI34" s="2" t="n"/>
      <c r="AJ34" s="2" t="n"/>
      <c r="AK34" s="2" t="n"/>
      <c r="AL34" s="2" t="n"/>
      <c r="AM34" s="4">
        <f>COUNTIF(AI34:AL34,"Y")</f>
        <v/>
      </c>
      <c r="AN34" s="2" t="n"/>
    </row>
    <row r="35">
      <c r="A35" s="2" t="inlineStr">
        <is>
          <t>WEB-34</t>
        </is>
      </c>
      <c r="B35" s="2" t="inlineStr">
        <is>
          <t>Website</t>
        </is>
      </c>
      <c r="C35" s="2" t="inlineStr">
        <is>
          <t>physical activity guidelines</t>
        </is>
      </c>
      <c r="D35" s="2" t="inlineStr">
        <is>
          <t>https://www.who.int/initiatives/behealthy/physical-activity</t>
        </is>
      </c>
      <c r="E35" s="2" t="inlineStr">
        <is>
          <t>Physical activity</t>
        </is>
      </c>
      <c r="F35" s="2" t="inlineStr">
        <is>
          <t>https://www.who.int › Initiatives › Be healthy be mobile</t>
        </is>
      </c>
      <c r="G35" s="2" t="n"/>
      <c r="H35" s="3" t="n"/>
      <c r="I35" s="4" t="n"/>
      <c r="J35" s="4" t="n"/>
      <c r="K35" s="4" t="n"/>
      <c r="L35" s="4" t="n"/>
      <c r="M35" s="2" t="n"/>
      <c r="N35" s="2" t="n"/>
      <c r="O35" s="2" t="n"/>
      <c r="P35" s="2" t="n"/>
      <c r="Q35" s="2" t="n"/>
      <c r="R35" s="2" t="n"/>
      <c r="S35" s="2" t="n"/>
      <c r="T35" s="2" t="n"/>
      <c r="U35" s="2" t="n"/>
      <c r="V35" s="2" t="n"/>
      <c r="W35" s="2" t="n"/>
      <c r="X35" s="2" t="n"/>
      <c r="Y35" s="2" t="n"/>
      <c r="Z35" s="2" t="n"/>
      <c r="AA35" s="2" t="n"/>
      <c r="AB35" s="2" t="n"/>
      <c r="AC35" s="2" t="n"/>
      <c r="AD35" s="2" t="n"/>
      <c r="AE35" s="4">
        <f>SUM(O35:V35)</f>
        <v/>
      </c>
      <c r="AF35" s="4">
        <f>SUM(W35:AC35)</f>
        <v/>
      </c>
      <c r="AG35" s="4">
        <f>SUM(O35:AD35)</f>
        <v/>
      </c>
      <c r="AH35" s="2">
        <f>IF(AG35="","",IF(AG35&lt;=26,"Very Poor",IF(AG35&lt;=38,"Poor",IF(AG35&lt;=50,"Fair",IF(AG35&lt;=62,"Good","Excellent")))))</f>
        <v/>
      </c>
      <c r="AI35" s="2" t="n"/>
      <c r="AJ35" s="2" t="n"/>
      <c r="AK35" s="2" t="n"/>
      <c r="AL35" s="2" t="n"/>
      <c r="AM35" s="4">
        <f>COUNTIF(AI35:AL35,"Y")</f>
        <v/>
      </c>
      <c r="AN35" s="2" t="n"/>
    </row>
    <row r="36">
      <c r="A36" s="2" t="inlineStr">
        <is>
          <t>WEB-35</t>
        </is>
      </c>
      <c r="B36" s="2" t="inlineStr">
        <is>
          <t>Website</t>
        </is>
      </c>
      <c r="C36" s="2" t="inlineStr">
        <is>
          <t>physical activity guidelines</t>
        </is>
      </c>
      <c r="D36" s="2" t="inlineStr">
        <is>
          <t>https://acsm.org/education-resources/trending-topics-resources/physical-activity-guidelines/</t>
        </is>
      </c>
      <c r="E36" s="2" t="inlineStr">
        <is>
          <t>Physical Activity Guidelines</t>
        </is>
      </c>
      <c r="F36" s="2" t="inlineStr">
        <is>
          <t>https://acsm.org › ... › Trending Topics &amp; Resources</t>
        </is>
      </c>
      <c r="G36" s="2" t="n"/>
      <c r="H36" s="3" t="n"/>
      <c r="I36" s="4" t="n"/>
      <c r="J36" s="4" t="n"/>
      <c r="K36" s="4" t="n"/>
      <c r="L36" s="4" t="n"/>
      <c r="M36" s="2" t="n"/>
      <c r="N36" s="2" t="n"/>
      <c r="O36" s="2" t="n"/>
      <c r="P36" s="2" t="n"/>
      <c r="Q36" s="2" t="n"/>
      <c r="R36" s="2" t="n"/>
      <c r="S36" s="2" t="n"/>
      <c r="T36" s="2" t="n"/>
      <c r="U36" s="2" t="n"/>
      <c r="V36" s="2" t="n"/>
      <c r="W36" s="2" t="n"/>
      <c r="X36" s="2" t="n"/>
      <c r="Y36" s="2" t="n"/>
      <c r="Z36" s="2" t="n"/>
      <c r="AA36" s="2" t="n"/>
      <c r="AB36" s="2" t="n"/>
      <c r="AC36" s="2" t="n"/>
      <c r="AD36" s="2" t="n"/>
      <c r="AE36" s="4">
        <f>SUM(O36:V36)</f>
        <v/>
      </c>
      <c r="AF36" s="4">
        <f>SUM(W36:AC36)</f>
        <v/>
      </c>
      <c r="AG36" s="4">
        <f>SUM(O36:AD36)</f>
        <v/>
      </c>
      <c r="AH36" s="2">
        <f>IF(AG36="","",IF(AG36&lt;=26,"Very Poor",IF(AG36&lt;=38,"Poor",IF(AG36&lt;=50,"Fair",IF(AG36&lt;=62,"Good","Excellent")))))</f>
        <v/>
      </c>
      <c r="AI36" s="2" t="n"/>
      <c r="AJ36" s="2" t="n"/>
      <c r="AK36" s="2" t="n"/>
      <c r="AL36" s="2" t="n"/>
      <c r="AM36" s="4">
        <f>COUNTIF(AI36:AL36,"Y")</f>
        <v/>
      </c>
      <c r="AN36" s="2" t="n"/>
    </row>
    <row r="37">
      <c r="A37" s="2" t="inlineStr">
        <is>
          <t>WEB-36</t>
        </is>
      </c>
      <c r="B37" s="2" t="inlineStr">
        <is>
          <t>Website</t>
        </is>
      </c>
      <c r="C37" s="2" t="inlineStr">
        <is>
          <t>physical activity guidelines</t>
        </is>
      </c>
      <c r="D37" s="2" t="inlineStr">
        <is>
          <t>https://www.nia.nih.gov/health/exercise-and-physical-activity</t>
        </is>
      </c>
      <c r="E37" s="2" t="inlineStr">
        <is>
          <t>Exercise and physical activity - National Institute on Aging - NIH</t>
        </is>
      </c>
      <c r="F37" s="2" t="inlineStr">
        <is>
          <t>https://www.nia.nih.gov › health › exercise-and-physical...</t>
        </is>
      </c>
      <c r="G37" s="2" t="n"/>
      <c r="H37" s="3" t="n"/>
      <c r="I37" s="4" t="n"/>
      <c r="J37" s="4" t="n"/>
      <c r="K37" s="4" t="n"/>
      <c r="L37" s="4" t="n"/>
      <c r="M37" s="2" t="n"/>
      <c r="N37" s="2" t="n"/>
      <c r="O37" s="2" t="n"/>
      <c r="P37" s="2" t="n"/>
      <c r="Q37" s="2" t="n"/>
      <c r="R37" s="2" t="n"/>
      <c r="S37" s="2" t="n"/>
      <c r="T37" s="2" t="n"/>
      <c r="U37" s="2" t="n"/>
      <c r="V37" s="2" t="n"/>
      <c r="W37" s="2" t="n"/>
      <c r="X37" s="2" t="n"/>
      <c r="Y37" s="2" t="n"/>
      <c r="Z37" s="2" t="n"/>
      <c r="AA37" s="2" t="n"/>
      <c r="AB37" s="2" t="n"/>
      <c r="AC37" s="2" t="n"/>
      <c r="AD37" s="2" t="n"/>
      <c r="AE37" s="4">
        <f>SUM(O37:V37)</f>
        <v/>
      </c>
      <c r="AF37" s="4">
        <f>SUM(W37:AC37)</f>
        <v/>
      </c>
      <c r="AG37" s="4">
        <f>SUM(O37:AD37)</f>
        <v/>
      </c>
      <c r="AH37" s="2">
        <f>IF(AG37="","",IF(AG37&lt;=26,"Very Poor",IF(AG37&lt;=38,"Poor",IF(AG37&lt;=50,"Fair",IF(AG37&lt;=62,"Good","Excellent")))))</f>
        <v/>
      </c>
      <c r="AI37" s="2" t="n"/>
      <c r="AJ37" s="2" t="n"/>
      <c r="AK37" s="2" t="n"/>
      <c r="AL37" s="2" t="n"/>
      <c r="AM37" s="4">
        <f>COUNTIF(AI37:AL37,"Y")</f>
        <v/>
      </c>
      <c r="AN37" s="2" t="n"/>
    </row>
    <row r="38">
      <c r="A38" s="2" t="inlineStr">
        <is>
          <t>WEB-37</t>
        </is>
      </c>
      <c r="B38" s="2" t="inlineStr">
        <is>
          <t>Website</t>
        </is>
      </c>
      <c r="C38" s="2" t="inlineStr">
        <is>
          <t>physical activity guidelines</t>
        </is>
      </c>
      <c r="D38" s="2" t="inlineStr">
        <is>
          <t>https://www.nhs.uk/live-well/exercise/physical-activity-guidelines-for-adults-aged-19-to-64/</t>
        </is>
      </c>
      <c r="E38" s="2" t="inlineStr">
        <is>
          <t>Physical activity guidelines for adults aged 19 to 64</t>
        </is>
      </c>
      <c r="F38" s="2" t="inlineStr">
        <is>
          <t>https://www.nhs.uk › Healthy living › Exercise</t>
        </is>
      </c>
      <c r="G38" s="2" t="n"/>
      <c r="H38" s="3" t="n"/>
      <c r="I38" s="4" t="n"/>
      <c r="J38" s="4" t="n"/>
      <c r="K38" s="4" t="n"/>
      <c r="L38" s="4" t="n"/>
      <c r="M38" s="2" t="n"/>
      <c r="N38" s="2" t="n"/>
      <c r="O38" s="2" t="n"/>
      <c r="P38" s="2" t="n"/>
      <c r="Q38" s="2" t="n"/>
      <c r="R38" s="2" t="n"/>
      <c r="S38" s="2" t="n"/>
      <c r="T38" s="2" t="n"/>
      <c r="U38" s="2" t="n"/>
      <c r="V38" s="2" t="n"/>
      <c r="W38" s="2" t="n"/>
      <c r="X38" s="2" t="n"/>
      <c r="Y38" s="2" t="n"/>
      <c r="Z38" s="2" t="n"/>
      <c r="AA38" s="2" t="n"/>
      <c r="AB38" s="2" t="n"/>
      <c r="AC38" s="2" t="n"/>
      <c r="AD38" s="2" t="n"/>
      <c r="AE38" s="4">
        <f>SUM(O38:V38)</f>
        <v/>
      </c>
      <c r="AF38" s="4">
        <f>SUM(W38:AC38)</f>
        <v/>
      </c>
      <c r="AG38" s="4">
        <f>SUM(O38:AD38)</f>
        <v/>
      </c>
      <c r="AH38" s="2">
        <f>IF(AG38="","",IF(AG38&lt;=26,"Very Poor",IF(AG38&lt;=38,"Poor",IF(AG38&lt;=50,"Fair",IF(AG38&lt;=62,"Good","Excellent")))))</f>
        <v/>
      </c>
      <c r="AI38" s="2" t="n"/>
      <c r="AJ38" s="2" t="n"/>
      <c r="AK38" s="2" t="n"/>
      <c r="AL38" s="2" t="n"/>
      <c r="AM38" s="4">
        <f>COUNTIF(AI38:AL38,"Y")</f>
        <v/>
      </c>
      <c r="AN38" s="2" t="n"/>
    </row>
    <row r="39">
      <c r="A39" s="2" t="inlineStr">
        <is>
          <t>WEB-38</t>
        </is>
      </c>
      <c r="B39" s="2" t="inlineStr">
        <is>
          <t>Website</t>
        </is>
      </c>
      <c r="C39" s="2" t="inlineStr">
        <is>
          <t>physical activity guidelines</t>
        </is>
      </c>
      <c r="D39" s="2" t="inlineStr">
        <is>
          <t>https://www.cdc.gov/physical-activity-education/guidelines/index.html</t>
        </is>
      </c>
      <c r="E39" s="2" t="inlineStr">
        <is>
          <t>Physical Activity Guidelines for School-Aged Children and ...</t>
        </is>
      </c>
      <c r="F39" s="2" t="inlineStr">
        <is>
          <t>https://www.cdc.gov › physical-activity-education › gui...</t>
        </is>
      </c>
      <c r="G39" s="2" t="n"/>
      <c r="H39" s="3" t="n"/>
      <c r="I39" s="4" t="n"/>
      <c r="J39" s="4" t="n"/>
      <c r="K39" s="4" t="n"/>
      <c r="L39" s="4" t="n"/>
      <c r="M39" s="2" t="n"/>
      <c r="N39" s="2" t="n"/>
      <c r="O39" s="2" t="n"/>
      <c r="P39" s="2" t="n"/>
      <c r="Q39" s="2" t="n"/>
      <c r="R39" s="2" t="n"/>
      <c r="S39" s="2" t="n"/>
      <c r="T39" s="2" t="n"/>
      <c r="U39" s="2" t="n"/>
      <c r="V39" s="2" t="n"/>
      <c r="W39" s="2" t="n"/>
      <c r="X39" s="2" t="n"/>
      <c r="Y39" s="2" t="n"/>
      <c r="Z39" s="2" t="n"/>
      <c r="AA39" s="2" t="n"/>
      <c r="AB39" s="2" t="n"/>
      <c r="AC39" s="2" t="n"/>
      <c r="AD39" s="2" t="n"/>
      <c r="AE39" s="4">
        <f>SUM(O39:V39)</f>
        <v/>
      </c>
      <c r="AF39" s="4">
        <f>SUM(W39:AC39)</f>
        <v/>
      </c>
      <c r="AG39" s="4">
        <f>SUM(O39:AD39)</f>
        <v/>
      </c>
      <c r="AH39" s="2">
        <f>IF(AG39="","",IF(AG39&lt;=26,"Very Poor",IF(AG39&lt;=38,"Poor",IF(AG39&lt;=50,"Fair",IF(AG39&lt;=62,"Good","Excellent")))))</f>
        <v/>
      </c>
      <c r="AI39" s="2" t="n"/>
      <c r="AJ39" s="2" t="n"/>
      <c r="AK39" s="2" t="n"/>
      <c r="AL39" s="2" t="n"/>
      <c r="AM39" s="4">
        <f>COUNTIF(AI39:AL39,"Y")</f>
        <v/>
      </c>
      <c r="AN39" s="2" t="n"/>
    </row>
    <row r="40">
      <c r="A40" s="2" t="inlineStr">
        <is>
          <t>WEB-39</t>
        </is>
      </c>
      <c r="B40" s="2" t="inlineStr">
        <is>
          <t>Website</t>
        </is>
      </c>
      <c r="C40" s="2" t="inlineStr">
        <is>
          <t>physical activity guidelines</t>
        </is>
      </c>
      <c r="D40" s="2" t="inlineStr">
        <is>
          <t>https://odphp.health.gov/our-work/nutrition-physical-activity/physical-activity-guidelines/current-guidelines</t>
        </is>
      </c>
      <c r="E40" s="2" t="inlineStr">
        <is>
          <t>Current Guidelines | odphp.health.gov</t>
        </is>
      </c>
      <c r="F40" s="2" t="inlineStr">
        <is>
          <t>https://odphp.health.gov › physical-activity-guidelines</t>
        </is>
      </c>
      <c r="G40" s="2" t="n"/>
      <c r="H40" s="3" t="n"/>
      <c r="I40" s="4" t="n"/>
      <c r="J40" s="4" t="n"/>
      <c r="K40" s="4" t="n"/>
      <c r="L40" s="4" t="n"/>
      <c r="M40" s="2" t="n"/>
      <c r="N40" s="2" t="n"/>
      <c r="O40" s="2" t="n"/>
      <c r="P40" s="2" t="n"/>
      <c r="Q40" s="2" t="n"/>
      <c r="R40" s="2" t="n"/>
      <c r="S40" s="2" t="n"/>
      <c r="T40" s="2" t="n"/>
      <c r="U40" s="2" t="n"/>
      <c r="V40" s="2" t="n"/>
      <c r="W40" s="2" t="n"/>
      <c r="X40" s="2" t="n"/>
      <c r="Y40" s="2" t="n"/>
      <c r="Z40" s="2" t="n"/>
      <c r="AA40" s="2" t="n"/>
      <c r="AB40" s="2" t="n"/>
      <c r="AC40" s="2" t="n"/>
      <c r="AD40" s="2" t="n"/>
      <c r="AE40" s="4">
        <f>SUM(O40:V40)</f>
        <v/>
      </c>
      <c r="AF40" s="4">
        <f>SUM(W40:AC40)</f>
        <v/>
      </c>
      <c r="AG40" s="4">
        <f>SUM(O40:AD40)</f>
        <v/>
      </c>
      <c r="AH40" s="2">
        <f>IF(AG40="","",IF(AG40&lt;=26,"Very Poor",IF(AG40&lt;=38,"Poor",IF(AG40&lt;=50,"Fair",IF(AG40&lt;=62,"Good","Excellent")))))</f>
        <v/>
      </c>
      <c r="AI40" s="2" t="n"/>
      <c r="AJ40" s="2" t="n"/>
      <c r="AK40" s="2" t="n"/>
      <c r="AL40" s="2" t="n"/>
      <c r="AM40" s="4">
        <f>COUNTIF(AI40:AL40,"Y")</f>
        <v/>
      </c>
      <c r="AN40" s="2" t="n"/>
    </row>
    <row r="41">
      <c r="A41" s="2" t="inlineStr">
        <is>
          <t>WEB-40</t>
        </is>
      </c>
      <c r="B41" s="2" t="inlineStr">
        <is>
          <t>Website</t>
        </is>
      </c>
      <c r="C41" s="2" t="inlineStr">
        <is>
          <t>physical activity guidelines</t>
        </is>
      </c>
      <c r="D41" s="2" t="inlineStr">
        <is>
          <t>https://scholar.google.com/scholar?q=physical+activity+guidelines&amp;hl=en&amp;as_sdt=0&amp;as_vis=1&amp;oi=scholart</t>
        </is>
      </c>
      <c r="E41" s="2" t="inlineStr">
        <is>
          <t>Scholarly articles for physical activity guidelines</t>
        </is>
      </c>
      <c r="F41" s="2" t="inlineStr">
        <is>
          <t>‎Piercy</t>
        </is>
      </c>
      <c r="G41" s="2" t="n"/>
      <c r="H41" s="3" t="n"/>
      <c r="I41" s="4" t="n"/>
      <c r="J41" s="4" t="n"/>
      <c r="K41" s="4" t="n"/>
      <c r="L41" s="4" t="n"/>
      <c r="M41" s="2" t="n"/>
      <c r="N41" s="2" t="n"/>
      <c r="O41" s="2" t="n"/>
      <c r="P41" s="2" t="n"/>
      <c r="Q41" s="2" t="n"/>
      <c r="R41" s="2" t="n"/>
      <c r="S41" s="2" t="n"/>
      <c r="T41" s="2" t="n"/>
      <c r="U41" s="2" t="n"/>
      <c r="V41" s="2" t="n"/>
      <c r="W41" s="2" t="n"/>
      <c r="X41" s="2" t="n"/>
      <c r="Y41" s="2" t="n"/>
      <c r="Z41" s="2" t="n"/>
      <c r="AA41" s="2" t="n"/>
      <c r="AB41" s="2" t="n"/>
      <c r="AC41" s="2" t="n"/>
      <c r="AD41" s="2" t="n"/>
      <c r="AE41" s="4">
        <f>SUM(O41:V41)</f>
        <v/>
      </c>
      <c r="AF41" s="4">
        <f>SUM(W41:AC41)</f>
        <v/>
      </c>
      <c r="AG41" s="4">
        <f>SUM(O41:AD41)</f>
        <v/>
      </c>
      <c r="AH41" s="2">
        <f>IF(AG41="","",IF(AG41&lt;=26,"Very Poor",IF(AG41&lt;=38,"Poor",IF(AG41&lt;=50,"Fair",IF(AG41&lt;=62,"Good","Excellent")))))</f>
        <v/>
      </c>
      <c r="AI41" s="2" t="n"/>
      <c r="AJ41" s="2" t="n"/>
      <c r="AK41" s="2" t="n"/>
      <c r="AL41" s="2" t="n"/>
      <c r="AM41" s="4">
        <f>COUNTIF(AI41:AL41,"Y")</f>
        <v/>
      </c>
      <c r="AN41" s="2" t="n"/>
    </row>
    <row r="42">
      <c r="A42" s="2" t="inlineStr">
        <is>
          <t>WEB-41</t>
        </is>
      </c>
      <c r="B42" s="2" t="inlineStr">
        <is>
          <t>Website</t>
        </is>
      </c>
      <c r="C42" s="2" t="inlineStr">
        <is>
          <t>home workout routine</t>
        </is>
      </c>
      <c r="D42" s="2" t="inlineStr">
        <is>
          <t>https://www.healthline.com/health/fitness-exercise/at-home-workouts</t>
        </is>
      </c>
      <c r="E42" s="2" t="inlineStr">
        <is>
          <t>30 Moves to Make the Most of Your At-Home Workout</t>
        </is>
      </c>
      <c r="F42" s="2" t="inlineStr">
        <is>
          <t>https://www.healthline.com › health › fitness-exercise</t>
        </is>
      </c>
      <c r="G42" s="2" t="n"/>
      <c r="H42" s="3" t="n"/>
      <c r="I42" s="4" t="n"/>
      <c r="J42" s="4" t="n"/>
      <c r="K42" s="4" t="n"/>
      <c r="L42" s="4" t="n"/>
      <c r="M42" s="2" t="n"/>
      <c r="N42" s="2" t="n"/>
      <c r="O42" s="2" t="n"/>
      <c r="P42" s="2" t="n"/>
      <c r="Q42" s="2" t="n"/>
      <c r="R42" s="2" t="n"/>
      <c r="S42" s="2" t="n"/>
      <c r="T42" s="2" t="n"/>
      <c r="U42" s="2" t="n"/>
      <c r="V42" s="2" t="n"/>
      <c r="W42" s="2" t="n"/>
      <c r="X42" s="2" t="n"/>
      <c r="Y42" s="2" t="n"/>
      <c r="Z42" s="2" t="n"/>
      <c r="AA42" s="2" t="n"/>
      <c r="AB42" s="2" t="n"/>
      <c r="AC42" s="2" t="n"/>
      <c r="AD42" s="2" t="n"/>
      <c r="AE42" s="4">
        <f>SUM(O42:V42)</f>
        <v/>
      </c>
      <c r="AF42" s="4">
        <f>SUM(W42:AC42)</f>
        <v/>
      </c>
      <c r="AG42" s="4">
        <f>SUM(O42:AD42)</f>
        <v/>
      </c>
      <c r="AH42" s="2">
        <f>IF(AG42="","",IF(AG42&lt;=26,"Very Poor",IF(AG42&lt;=38,"Poor",IF(AG42&lt;=50,"Fair",IF(AG42&lt;=62,"Good","Excellent")))))</f>
        <v/>
      </c>
      <c r="AI42" s="2" t="n"/>
      <c r="AJ42" s="2" t="n"/>
      <c r="AK42" s="2" t="n"/>
      <c r="AL42" s="2" t="n"/>
      <c r="AM42" s="4">
        <f>COUNTIF(AI42:AL42,"Y")</f>
        <v/>
      </c>
      <c r="AN42" s="2" t="n"/>
    </row>
    <row r="43">
      <c r="A43" s="2" t="inlineStr">
        <is>
          <t>WEB-42</t>
        </is>
      </c>
      <c r="B43" s="2" t="inlineStr">
        <is>
          <t>Website</t>
        </is>
      </c>
      <c r="C43" s="2" t="inlineStr">
        <is>
          <t>home workout routine</t>
        </is>
      </c>
      <c r="D43" s="2" t="inlineStr">
        <is>
          <t>https://www.nerdfitness.com/blog/the-7-best-at-home-workout-routines-the-ultimate-guide-for-training-without-a-gym/</t>
        </is>
      </c>
      <c r="E43" s="2" t="inlineStr">
        <is>
          <t>The 10 Best at Home Workouts (No-Equipment!)</t>
        </is>
      </c>
      <c r="F43" s="2" t="inlineStr">
        <is>
          <t>https://www.nerdfitness.com › General</t>
        </is>
      </c>
      <c r="G43" s="2" t="n"/>
      <c r="H43" s="3" t="n"/>
      <c r="I43" s="4" t="n"/>
      <c r="J43" s="4" t="n"/>
      <c r="K43" s="4" t="n"/>
      <c r="L43" s="4" t="n"/>
      <c r="M43" s="2" t="n"/>
      <c r="N43" s="2" t="n"/>
      <c r="O43" s="2" t="n"/>
      <c r="P43" s="2" t="n"/>
      <c r="Q43" s="2" t="n"/>
      <c r="R43" s="2" t="n"/>
      <c r="S43" s="2" t="n"/>
      <c r="T43" s="2" t="n"/>
      <c r="U43" s="2" t="n"/>
      <c r="V43" s="2" t="n"/>
      <c r="W43" s="2" t="n"/>
      <c r="X43" s="2" t="n"/>
      <c r="Y43" s="2" t="n"/>
      <c r="Z43" s="2" t="n"/>
      <c r="AA43" s="2" t="n"/>
      <c r="AB43" s="2" t="n"/>
      <c r="AC43" s="2" t="n"/>
      <c r="AD43" s="2" t="n"/>
      <c r="AE43" s="4">
        <f>SUM(O43:V43)</f>
        <v/>
      </c>
      <c r="AF43" s="4">
        <f>SUM(W43:AC43)</f>
        <v/>
      </c>
      <c r="AG43" s="4">
        <f>SUM(O43:AD43)</f>
        <v/>
      </c>
      <c r="AH43" s="2">
        <f>IF(AG43="","",IF(AG43&lt;=26,"Very Poor",IF(AG43&lt;=38,"Poor",IF(AG43&lt;=50,"Fair",IF(AG43&lt;=62,"Good","Excellent")))))</f>
        <v/>
      </c>
      <c r="AI43" s="2" t="n"/>
      <c r="AJ43" s="2" t="n"/>
      <c r="AK43" s="2" t="n"/>
      <c r="AL43" s="2" t="n"/>
      <c r="AM43" s="4">
        <f>COUNTIF(AI43:AL43,"Y")</f>
        <v/>
      </c>
      <c r="AN43" s="2" t="n"/>
    </row>
    <row r="44">
      <c r="A44" s="2" t="inlineStr">
        <is>
          <t>WEB-43</t>
        </is>
      </c>
      <c r="B44" s="2" t="inlineStr">
        <is>
          <t>Website</t>
        </is>
      </c>
      <c r="C44" s="2" t="inlineStr">
        <is>
          <t>home workout routine</t>
        </is>
      </c>
      <c r="D44" s="2" t="inlineStr">
        <is>
          <t>https://hsc.unm.edu/_media/pdfs/rbhomeworkoutguide2020-3.pdf</t>
        </is>
      </c>
      <c r="E44" s="2" t="inlineStr">
        <is>
          <t>HOME WORKOUT PLAN</t>
        </is>
      </c>
      <c r="F44" s="2" t="inlineStr">
        <is>
          <t>https://hsc.unm.edu › rbhomeworkoutguide2020-3</t>
        </is>
      </c>
      <c r="G44" s="2" t="n"/>
      <c r="H44" s="3" t="n"/>
      <c r="I44" s="4" t="n"/>
      <c r="J44" s="4" t="n"/>
      <c r="K44" s="4" t="n"/>
      <c r="L44" s="4" t="n"/>
      <c r="M44" s="2" t="n"/>
      <c r="N44" s="2" t="n"/>
      <c r="O44" s="2" t="n"/>
      <c r="P44" s="2" t="n"/>
      <c r="Q44" s="2" t="n"/>
      <c r="R44" s="2" t="n"/>
      <c r="S44" s="2" t="n"/>
      <c r="T44" s="2" t="n"/>
      <c r="U44" s="2" t="n"/>
      <c r="V44" s="2" t="n"/>
      <c r="W44" s="2" t="n"/>
      <c r="X44" s="2" t="n"/>
      <c r="Y44" s="2" t="n"/>
      <c r="Z44" s="2" t="n"/>
      <c r="AA44" s="2" t="n"/>
      <c r="AB44" s="2" t="n"/>
      <c r="AC44" s="2" t="n"/>
      <c r="AD44" s="2" t="n"/>
      <c r="AE44" s="4">
        <f>SUM(O44:V44)</f>
        <v/>
      </c>
      <c r="AF44" s="4">
        <f>SUM(W44:AC44)</f>
        <v/>
      </c>
      <c r="AG44" s="4">
        <f>SUM(O44:AD44)</f>
        <v/>
      </c>
      <c r="AH44" s="2">
        <f>IF(AG44="","",IF(AG44&lt;=26,"Very Poor",IF(AG44&lt;=38,"Poor",IF(AG44&lt;=50,"Fair",IF(AG44&lt;=62,"Good","Excellent")))))</f>
        <v/>
      </c>
      <c r="AI44" s="2" t="n"/>
      <c r="AJ44" s="2" t="n"/>
      <c r="AK44" s="2" t="n"/>
      <c r="AL44" s="2" t="n"/>
      <c r="AM44" s="4">
        <f>COUNTIF(AI44:AL44,"Y")</f>
        <v/>
      </c>
      <c r="AN44" s="2" t="n"/>
    </row>
    <row r="45">
      <c r="A45" s="2" t="inlineStr">
        <is>
          <t>WEB-44</t>
        </is>
      </c>
      <c r="B45" s="2" t="inlineStr">
        <is>
          <t>Website</t>
        </is>
      </c>
      <c r="C45" s="2" t="inlineStr">
        <is>
          <t>home workout routine</t>
        </is>
      </c>
      <c r="D45" s="2" t="inlineStr">
        <is>
          <t>https://www.muscleandstrength.com/workout-routines</t>
        </is>
      </c>
      <c r="E45" s="2" t="inlineStr">
        <is>
          <t>Workout Routines Database: 1000+ Free Workout Plans</t>
        </is>
      </c>
      <c r="F45" s="2" t="inlineStr">
        <is>
          <t>https://www.muscleandstrength.com › workout-routines</t>
        </is>
      </c>
      <c r="G45" s="2" t="n"/>
      <c r="H45" s="3" t="n"/>
      <c r="I45" s="4" t="n"/>
      <c r="J45" s="4" t="n"/>
      <c r="K45" s="4" t="n"/>
      <c r="L45" s="4" t="n"/>
      <c r="M45" s="2" t="n"/>
      <c r="N45" s="2" t="n"/>
      <c r="O45" s="2" t="n"/>
      <c r="P45" s="2" t="n"/>
      <c r="Q45" s="2" t="n"/>
      <c r="R45" s="2" t="n"/>
      <c r="S45" s="2" t="n"/>
      <c r="T45" s="2" t="n"/>
      <c r="U45" s="2" t="n"/>
      <c r="V45" s="2" t="n"/>
      <c r="W45" s="2" t="n"/>
      <c r="X45" s="2" t="n"/>
      <c r="Y45" s="2" t="n"/>
      <c r="Z45" s="2" t="n"/>
      <c r="AA45" s="2" t="n"/>
      <c r="AB45" s="2" t="n"/>
      <c r="AC45" s="2" t="n"/>
      <c r="AD45" s="2" t="n"/>
      <c r="AE45" s="4">
        <f>SUM(O45:V45)</f>
        <v/>
      </c>
      <c r="AF45" s="4">
        <f>SUM(W45:AC45)</f>
        <v/>
      </c>
      <c r="AG45" s="4">
        <f>SUM(O45:AD45)</f>
        <v/>
      </c>
      <c r="AH45" s="2">
        <f>IF(AG45="","",IF(AG45&lt;=26,"Very Poor",IF(AG45&lt;=38,"Poor",IF(AG45&lt;=50,"Fair",IF(AG45&lt;=62,"Good","Excellent")))))</f>
        <v/>
      </c>
      <c r="AI45" s="2" t="n"/>
      <c r="AJ45" s="2" t="n"/>
      <c r="AK45" s="2" t="n"/>
      <c r="AL45" s="2" t="n"/>
      <c r="AM45" s="4">
        <f>COUNTIF(AI45:AL45,"Y")</f>
        <v/>
      </c>
      <c r="AN45" s="2" t="n"/>
    </row>
    <row r="46">
      <c r="A46" s="2" t="inlineStr">
        <is>
          <t>WEB-45</t>
        </is>
      </c>
      <c r="B46" s="2" t="inlineStr">
        <is>
          <t>Website</t>
        </is>
      </c>
      <c r="C46" s="2" t="inlineStr">
        <is>
          <t>home workout routine</t>
        </is>
      </c>
      <c r="D46" s="2" t="inlineStr">
        <is>
          <t>https://www.nourishmovelove.com/fitness-beginner-workout-plan/</t>
        </is>
      </c>
      <c r="E46" s="2" t="inlineStr">
        <is>
          <t>Beginner Workout Plan (30-Day Routine)</t>
        </is>
      </c>
      <c r="F46" s="2" t="inlineStr">
        <is>
          <t>https://www.nourishmovelove.com › fitness-beginner-w...</t>
        </is>
      </c>
      <c r="G46" s="2" t="n"/>
      <c r="H46" s="3" t="n"/>
      <c r="I46" s="4" t="n"/>
      <c r="J46" s="4" t="n"/>
      <c r="K46" s="4" t="n"/>
      <c r="L46" s="4" t="n"/>
      <c r="M46" s="2" t="n"/>
      <c r="N46" s="2" t="n"/>
      <c r="O46" s="2" t="n"/>
      <c r="P46" s="2" t="n"/>
      <c r="Q46" s="2" t="n"/>
      <c r="R46" s="2" t="n"/>
      <c r="S46" s="2" t="n"/>
      <c r="T46" s="2" t="n"/>
      <c r="U46" s="2" t="n"/>
      <c r="V46" s="2" t="n"/>
      <c r="W46" s="2" t="n"/>
      <c r="X46" s="2" t="n"/>
      <c r="Y46" s="2" t="n"/>
      <c r="Z46" s="2" t="n"/>
      <c r="AA46" s="2" t="n"/>
      <c r="AB46" s="2" t="n"/>
      <c r="AC46" s="2" t="n"/>
      <c r="AD46" s="2" t="n"/>
      <c r="AE46" s="4">
        <f>SUM(O46:V46)</f>
        <v/>
      </c>
      <c r="AF46" s="4">
        <f>SUM(W46:AC46)</f>
        <v/>
      </c>
      <c r="AG46" s="4">
        <f>SUM(O46:AD46)</f>
        <v/>
      </c>
      <c r="AH46" s="2">
        <f>IF(AG46="","",IF(AG46&lt;=26,"Very Poor",IF(AG46&lt;=38,"Poor",IF(AG46&lt;=50,"Fair",IF(AG46&lt;=62,"Good","Excellent")))))</f>
        <v/>
      </c>
      <c r="AI46" s="2" t="n"/>
      <c r="AJ46" s="2" t="n"/>
      <c r="AK46" s="2" t="n"/>
      <c r="AL46" s="2" t="n"/>
      <c r="AM46" s="4">
        <f>COUNTIF(AI46:AL46,"Y")</f>
        <v/>
      </c>
      <c r="AN46" s="2" t="n"/>
    </row>
    <row r="47">
      <c r="A47" s="2" t="inlineStr">
        <is>
          <t>WEB-46</t>
        </is>
      </c>
      <c r="B47" s="2" t="inlineStr">
        <is>
          <t>Website</t>
        </is>
      </c>
      <c r="C47" s="2" t="inlineStr">
        <is>
          <t>home workout routine</t>
        </is>
      </c>
      <c r="D47" s="2" t="inlineStr">
        <is>
          <t>https://www.reddit.com/r/bodyweightfitness/wiki/kb/recommended_routine/</t>
        </is>
      </c>
      <c r="E47" s="2" t="inlineStr">
        <is>
          <t>r/bodyweightfitness Guide: The Recommended Routine</t>
        </is>
      </c>
      <c r="F47" s="2" t="inlineStr">
        <is>
          <t>https://www.reddit.com › bodyweightfitness › wiki › re...</t>
        </is>
      </c>
      <c r="G47" s="2" t="n"/>
      <c r="H47" s="3" t="n"/>
      <c r="I47" s="4" t="n"/>
      <c r="J47" s="4" t="n"/>
      <c r="K47" s="4" t="n"/>
      <c r="L47" s="4" t="n"/>
      <c r="M47" s="2" t="n"/>
      <c r="N47" s="2" t="n"/>
      <c r="O47" s="2" t="n"/>
      <c r="P47" s="2" t="n"/>
      <c r="Q47" s="2" t="n"/>
      <c r="R47" s="2" t="n"/>
      <c r="S47" s="2" t="n"/>
      <c r="T47" s="2" t="n"/>
      <c r="U47" s="2" t="n"/>
      <c r="V47" s="2" t="n"/>
      <c r="W47" s="2" t="n"/>
      <c r="X47" s="2" t="n"/>
      <c r="Y47" s="2" t="n"/>
      <c r="Z47" s="2" t="n"/>
      <c r="AA47" s="2" t="n"/>
      <c r="AB47" s="2" t="n"/>
      <c r="AC47" s="2" t="n"/>
      <c r="AD47" s="2" t="n"/>
      <c r="AE47" s="4">
        <f>SUM(O47:V47)</f>
        <v/>
      </c>
      <c r="AF47" s="4">
        <f>SUM(W47:AC47)</f>
        <v/>
      </c>
      <c r="AG47" s="4">
        <f>SUM(O47:AD47)</f>
        <v/>
      </c>
      <c r="AH47" s="2">
        <f>IF(AG47="","",IF(AG47&lt;=26,"Very Poor",IF(AG47&lt;=38,"Poor",IF(AG47&lt;=50,"Fair",IF(AG47&lt;=62,"Good","Excellent")))))</f>
        <v/>
      </c>
      <c r="AI47" s="2" t="n"/>
      <c r="AJ47" s="2" t="n"/>
      <c r="AK47" s="2" t="n"/>
      <c r="AL47" s="2" t="n"/>
      <c r="AM47" s="4">
        <f>COUNTIF(AI47:AL47,"Y")</f>
        <v/>
      </c>
      <c r="AN47" s="2" t="n"/>
    </row>
    <row r="48">
      <c r="A48" s="2" t="inlineStr">
        <is>
          <t>WEB-47</t>
        </is>
      </c>
      <c r="B48" s="2" t="inlineStr">
        <is>
          <t>Website</t>
        </is>
      </c>
      <c r="C48" s="2" t="inlineStr">
        <is>
          <t>home workout routine</t>
        </is>
      </c>
      <c r="D48" s="2" t="inlineStr">
        <is>
          <t>https://www.utrecsports.org/public/upload/files/general/SP20_FW_PT_AtHome_Workouts_Strength.pdf</t>
        </is>
      </c>
      <c r="E48" s="2" t="inlineStr">
        <is>
          <t>No Equipment Home Workouts: strength workouts</t>
        </is>
      </c>
      <c r="F48" s="2" t="inlineStr">
        <is>
          <t>https://www.utrecsports.org › files › general › SP...</t>
        </is>
      </c>
      <c r="G48" s="2" t="n"/>
      <c r="H48" s="3" t="n"/>
      <c r="I48" s="4" t="n"/>
      <c r="J48" s="4" t="n"/>
      <c r="K48" s="4" t="n"/>
      <c r="L48" s="4" t="n"/>
      <c r="M48" s="2" t="n"/>
      <c r="N48" s="2" t="n"/>
      <c r="O48" s="2" t="n"/>
      <c r="P48" s="2" t="n"/>
      <c r="Q48" s="2" t="n"/>
      <c r="R48" s="2" t="n"/>
      <c r="S48" s="2" t="n"/>
      <c r="T48" s="2" t="n"/>
      <c r="U48" s="2" t="n"/>
      <c r="V48" s="2" t="n"/>
      <c r="W48" s="2" t="n"/>
      <c r="X48" s="2" t="n"/>
      <c r="Y48" s="2" t="n"/>
      <c r="Z48" s="2" t="n"/>
      <c r="AA48" s="2" t="n"/>
      <c r="AB48" s="2" t="n"/>
      <c r="AC48" s="2" t="n"/>
      <c r="AD48" s="2" t="n"/>
      <c r="AE48" s="4">
        <f>SUM(O48:V48)</f>
        <v/>
      </c>
      <c r="AF48" s="4">
        <f>SUM(W48:AC48)</f>
        <v/>
      </c>
      <c r="AG48" s="4">
        <f>SUM(O48:AD48)</f>
        <v/>
      </c>
      <c r="AH48" s="2">
        <f>IF(AG48="","",IF(AG48&lt;=26,"Very Poor",IF(AG48&lt;=38,"Poor",IF(AG48&lt;=50,"Fair",IF(AG48&lt;=62,"Good","Excellent")))))</f>
        <v/>
      </c>
      <c r="AI48" s="2" t="n"/>
      <c r="AJ48" s="2" t="n"/>
      <c r="AK48" s="2" t="n"/>
      <c r="AL48" s="2" t="n"/>
      <c r="AM48" s="4">
        <f>COUNTIF(AI48:AL48,"Y")</f>
        <v/>
      </c>
      <c r="AN48" s="2" t="n"/>
    </row>
    <row r="49">
      <c r="A49" s="2" t="inlineStr">
        <is>
          <t>WEB-48</t>
        </is>
      </c>
      <c r="B49" s="2" t="inlineStr">
        <is>
          <t>Website</t>
        </is>
      </c>
      <c r="C49" s="2" t="inlineStr">
        <is>
          <t>home workout routine</t>
        </is>
      </c>
      <c r="D49" s="2" t="inlineStr">
        <is>
          <t>https://darebee.com/</t>
        </is>
      </c>
      <c r="E49" s="2" t="inlineStr">
        <is>
          <t>DAREBEE - Home Workouts</t>
        </is>
      </c>
      <c r="F49" s="2" t="inlineStr">
        <is>
          <t>https://darebee.com</t>
        </is>
      </c>
      <c r="G49" s="2" t="n"/>
      <c r="H49" s="3" t="n"/>
      <c r="I49" s="4" t="n"/>
      <c r="J49" s="4" t="n"/>
      <c r="K49" s="4" t="n"/>
      <c r="L49" s="4" t="n"/>
      <c r="M49" s="2" t="n"/>
      <c r="N49" s="2" t="n"/>
      <c r="O49" s="2" t="n"/>
      <c r="P49" s="2" t="n"/>
      <c r="Q49" s="2" t="n"/>
      <c r="R49" s="2" t="n"/>
      <c r="S49" s="2" t="n"/>
      <c r="T49" s="2" t="n"/>
      <c r="U49" s="2" t="n"/>
      <c r="V49" s="2" t="n"/>
      <c r="W49" s="2" t="n"/>
      <c r="X49" s="2" t="n"/>
      <c r="Y49" s="2" t="n"/>
      <c r="Z49" s="2" t="n"/>
      <c r="AA49" s="2" t="n"/>
      <c r="AB49" s="2" t="n"/>
      <c r="AC49" s="2" t="n"/>
      <c r="AD49" s="2" t="n"/>
      <c r="AE49" s="4">
        <f>SUM(O49:V49)</f>
        <v/>
      </c>
      <c r="AF49" s="4">
        <f>SUM(W49:AC49)</f>
        <v/>
      </c>
      <c r="AG49" s="4">
        <f>SUM(O49:AD49)</f>
        <v/>
      </c>
      <c r="AH49" s="2">
        <f>IF(AG49="","",IF(AG49&lt;=26,"Very Poor",IF(AG49&lt;=38,"Poor",IF(AG49&lt;=50,"Fair",IF(AG49&lt;=62,"Good","Excellent")))))</f>
        <v/>
      </c>
      <c r="AI49" s="2" t="n"/>
      <c r="AJ49" s="2" t="n"/>
      <c r="AK49" s="2" t="n"/>
      <c r="AL49" s="2" t="n"/>
      <c r="AM49" s="4">
        <f>COUNTIF(AI49:AL49,"Y")</f>
        <v/>
      </c>
      <c r="AN49" s="2" t="n"/>
    </row>
    <row r="50">
      <c r="A50" s="2" t="inlineStr">
        <is>
          <t>WEB-49</t>
        </is>
      </c>
      <c r="B50" s="2" t="inlineStr">
        <is>
          <t>Website</t>
        </is>
      </c>
      <c r="C50" s="2" t="inlineStr">
        <is>
          <t>home workout routine</t>
        </is>
      </c>
      <c r="D50" s="2" t="inlineStr">
        <is>
          <t>https://www.nhs.uk/better-health/get-active/home-workout-videos/</t>
        </is>
      </c>
      <c r="E50" s="2" t="inlineStr">
        <is>
          <t>Home workout videos</t>
        </is>
      </c>
      <c r="F50" s="2" t="inlineStr">
        <is>
          <t>https://www.nhs.uk › better-health › get-active › home-...</t>
        </is>
      </c>
      <c r="G50" s="2" t="n"/>
      <c r="H50" s="3" t="n"/>
      <c r="I50" s="4" t="n"/>
      <c r="J50" s="4" t="n"/>
      <c r="K50" s="4" t="n"/>
      <c r="L50" s="4" t="n"/>
      <c r="M50" s="2" t="n"/>
      <c r="N50" s="2" t="n"/>
      <c r="O50" s="2" t="n"/>
      <c r="P50" s="2" t="n"/>
      <c r="Q50" s="2" t="n"/>
      <c r="R50" s="2" t="n"/>
      <c r="S50" s="2" t="n"/>
      <c r="T50" s="2" t="n"/>
      <c r="U50" s="2" t="n"/>
      <c r="V50" s="2" t="n"/>
      <c r="W50" s="2" t="n"/>
      <c r="X50" s="2" t="n"/>
      <c r="Y50" s="2" t="n"/>
      <c r="Z50" s="2" t="n"/>
      <c r="AA50" s="2" t="n"/>
      <c r="AB50" s="2" t="n"/>
      <c r="AC50" s="2" t="n"/>
      <c r="AD50" s="2" t="n"/>
      <c r="AE50" s="4">
        <f>SUM(O50:V50)</f>
        <v/>
      </c>
      <c r="AF50" s="4">
        <f>SUM(W50:AC50)</f>
        <v/>
      </c>
      <c r="AG50" s="4">
        <f>SUM(O50:AD50)</f>
        <v/>
      </c>
      <c r="AH50" s="2">
        <f>IF(AG50="","",IF(AG50&lt;=26,"Very Poor",IF(AG50&lt;=38,"Poor",IF(AG50&lt;=50,"Fair",IF(AG50&lt;=62,"Good","Excellent")))))</f>
        <v/>
      </c>
      <c r="AI50" s="2" t="n"/>
      <c r="AJ50" s="2" t="n"/>
      <c r="AK50" s="2" t="n"/>
      <c r="AL50" s="2" t="n"/>
      <c r="AM50" s="4">
        <f>COUNTIF(AI50:AL50,"Y")</f>
        <v/>
      </c>
      <c r="AN50" s="2" t="n"/>
    </row>
    <row r="51">
      <c r="A51" s="2" t="inlineStr">
        <is>
          <t>WEB-50</t>
        </is>
      </c>
      <c r="B51" s="2" t="inlineStr">
        <is>
          <t>Website</t>
        </is>
      </c>
      <c r="C51" s="2" t="inlineStr">
        <is>
          <t>home workout routine</t>
        </is>
      </c>
      <c r="D51" s="2" t="inlineStr">
        <is>
          <t>https://www.anytimefitness.com/blog/no-equipment-necessary-the-at-home-circuit-workout-you-can-do-anywhere</t>
        </is>
      </c>
      <c r="E51" s="2" t="inlineStr">
        <is>
          <t>At-Home Circuit Workout — No Equipment Needed!</t>
        </is>
      </c>
      <c r="F51" s="2" t="inlineStr">
        <is>
          <t>https://www.anytimefitness.com › Blog › Workouts</t>
        </is>
      </c>
      <c r="G51" s="2" t="n"/>
      <c r="H51" s="3" t="n"/>
      <c r="I51" s="4" t="n"/>
      <c r="J51" s="4" t="n"/>
      <c r="K51" s="4" t="n"/>
      <c r="L51" s="4" t="n"/>
      <c r="M51" s="2" t="n"/>
      <c r="N51" s="2" t="n"/>
      <c r="O51" s="2" t="n"/>
      <c r="P51" s="2" t="n"/>
      <c r="Q51" s="2" t="n"/>
      <c r="R51" s="2" t="n"/>
      <c r="S51" s="2" t="n"/>
      <c r="T51" s="2" t="n"/>
      <c r="U51" s="2" t="n"/>
      <c r="V51" s="2" t="n"/>
      <c r="W51" s="2" t="n"/>
      <c r="X51" s="2" t="n"/>
      <c r="Y51" s="2" t="n"/>
      <c r="Z51" s="2" t="n"/>
      <c r="AA51" s="2" t="n"/>
      <c r="AB51" s="2" t="n"/>
      <c r="AC51" s="2" t="n"/>
      <c r="AD51" s="2" t="n"/>
      <c r="AE51" s="4">
        <f>SUM(O51:V51)</f>
        <v/>
      </c>
      <c r="AF51" s="4">
        <f>SUM(W51:AC51)</f>
        <v/>
      </c>
      <c r="AG51" s="4">
        <f>SUM(O51:AD51)</f>
        <v/>
      </c>
      <c r="AH51" s="2">
        <f>IF(AG51="","",IF(AG51&lt;=26,"Very Poor",IF(AG51&lt;=38,"Poor",IF(AG51&lt;=50,"Fair",IF(AG51&lt;=62,"Good","Excellent")))))</f>
        <v/>
      </c>
      <c r="AI51" s="2" t="n"/>
      <c r="AJ51" s="2" t="n"/>
      <c r="AK51" s="2" t="n"/>
      <c r="AL51" s="2" t="n"/>
      <c r="AM51" s="4">
        <f>COUNTIF(AI51:AL51,"Y")</f>
        <v/>
      </c>
      <c r="AN51" s="2" t="n"/>
    </row>
    <row r="52">
      <c r="A52" s="5" t="inlineStr">
        <is>
          <t>YT-01</t>
        </is>
      </c>
      <c r="B52" s="5" t="inlineStr">
        <is>
          <t>YouTube</t>
        </is>
      </c>
      <c r="C52" s="5" t="inlineStr">
        <is>
          <t>how to start exercising</t>
        </is>
      </c>
      <c r="D52" s="5" t="inlineStr">
        <is>
          <t>https://www.youtube.com/watch?v=LzLhYBIQNmc&amp;t=820s</t>
        </is>
      </c>
      <c r="E52" s="5" t="inlineStr">
        <is>
          <t>How to *actually* workout consistently with ADHD! 💪</t>
        </is>
      </c>
      <c r="F52" s="5" t="inlineStr">
        <is>
          <t>Hayley Honeyman</t>
        </is>
      </c>
      <c r="G52" s="5" t="n"/>
      <c r="H52" s="6" t="inlineStr">
        <is>
          <t>2024-03-10</t>
        </is>
      </c>
      <c r="I52" s="7" t="n">
        <v>125792</v>
      </c>
      <c r="J52" s="7" t="n">
        <v>8300</v>
      </c>
      <c r="K52" s="7" t="n"/>
      <c r="L52" s="7" t="n">
        <v>404</v>
      </c>
      <c r="M52" s="5" t="n"/>
      <c r="N52" s="5" t="inlineStr">
        <is>
          <t>Long video (&gt;5min)</t>
        </is>
      </c>
      <c r="O52" s="5" t="n"/>
      <c r="P52" s="5" t="n"/>
      <c r="Q52" s="5" t="n"/>
      <c r="R52" s="5" t="n"/>
      <c r="S52" s="5" t="n"/>
      <c r="T52" s="5" t="n"/>
      <c r="U52" s="5" t="n"/>
      <c r="V52" s="5" t="n"/>
      <c r="W52" s="5" t="n"/>
      <c r="X52" s="5" t="n"/>
      <c r="Y52" s="5" t="n"/>
      <c r="Z52" s="5" t="n"/>
      <c r="AA52" s="5" t="n"/>
      <c r="AB52" s="5" t="n"/>
      <c r="AC52" s="5" t="n"/>
      <c r="AD52" s="5" t="n"/>
      <c r="AE52" s="7">
        <f>SUM(O52:V52)</f>
        <v/>
      </c>
      <c r="AF52" s="7">
        <f>SUM(W52:AC52)</f>
        <v/>
      </c>
      <c r="AG52" s="7">
        <f>SUM(O52:AD52)</f>
        <v/>
      </c>
      <c r="AH52" s="5">
        <f>IF(AG52="","",IF(AG52&lt;=26,"Very Poor",IF(AG52&lt;=38,"Poor",IF(AG52&lt;=50,"Fair",IF(AG52&lt;=62,"Good","Excellent")))))</f>
        <v/>
      </c>
      <c r="AI52" s="5" t="n"/>
      <c r="AJ52" s="5" t="n"/>
      <c r="AK52" s="5" t="n"/>
      <c r="AL52" s="5" t="n"/>
      <c r="AM52" s="7">
        <f>COUNTIF(AI52:AL52,"Y")</f>
        <v/>
      </c>
      <c r="AN52" s="5" t="n"/>
    </row>
    <row r="53">
      <c r="A53" s="5" t="inlineStr">
        <is>
          <t>YT-02</t>
        </is>
      </c>
      <c r="B53" s="5" t="inlineStr">
        <is>
          <t>YouTube</t>
        </is>
      </c>
      <c r="C53" s="5" t="inlineStr">
        <is>
          <t>how to start exercising</t>
        </is>
      </c>
      <c r="D53" s="5" t="inlineStr">
        <is>
          <t>https://www.youtube.com/watch?v=0QXaAQMwfBI</t>
        </is>
      </c>
      <c r="E53" s="5" t="inlineStr">
        <is>
          <t>Beginner's Gym Survival Guide</t>
        </is>
      </c>
      <c r="F53" s="5" t="inlineStr">
        <is>
          <t>Will Tennyson</t>
        </is>
      </c>
      <c r="G53" s="5" t="n"/>
      <c r="H53" s="6" t="inlineStr">
        <is>
          <t>2022-01-09</t>
        </is>
      </c>
      <c r="I53" s="7" t="n">
        <v>1889994</v>
      </c>
      <c r="J53" s="7" t="n">
        <v>100000</v>
      </c>
      <c r="K53" s="7" t="n"/>
      <c r="L53" s="7" t="n">
        <v>2620</v>
      </c>
      <c r="M53" s="5" t="n"/>
      <c r="N53" s="5" t="inlineStr">
        <is>
          <t>Long video (&gt;5min)</t>
        </is>
      </c>
      <c r="O53" s="5" t="n"/>
      <c r="P53" s="5" t="n"/>
      <c r="Q53" s="5" t="n"/>
      <c r="R53" s="5" t="n"/>
      <c r="S53" s="5" t="n"/>
      <c r="T53" s="5" t="n"/>
      <c r="U53" s="5" t="n"/>
      <c r="V53" s="5" t="n"/>
      <c r="W53" s="5" t="n"/>
      <c r="X53" s="5" t="n"/>
      <c r="Y53" s="5" t="n"/>
      <c r="Z53" s="5" t="n"/>
      <c r="AA53" s="5" t="n"/>
      <c r="AB53" s="5" t="n"/>
      <c r="AC53" s="5" t="n"/>
      <c r="AD53" s="5" t="n"/>
      <c r="AE53" s="7">
        <f>SUM(O53:V53)</f>
        <v/>
      </c>
      <c r="AF53" s="7">
        <f>SUM(W53:AC53)</f>
        <v/>
      </c>
      <c r="AG53" s="7">
        <f>SUM(O53:AD53)</f>
        <v/>
      </c>
      <c r="AH53" s="5">
        <f>IF(AG53="","",IF(AG53&lt;=26,"Very Poor",IF(AG53&lt;=38,"Poor",IF(AG53&lt;=50,"Fair",IF(AG53&lt;=62,"Good","Excellent")))))</f>
        <v/>
      </c>
      <c r="AI53" s="5" t="n"/>
      <c r="AJ53" s="5" t="n"/>
      <c r="AK53" s="5" t="n"/>
      <c r="AL53" s="5" t="n"/>
      <c r="AM53" s="7">
        <f>COUNTIF(AI53:AL53,"Y")</f>
        <v/>
      </c>
      <c r="AN53" s="5" t="n"/>
    </row>
    <row r="54">
      <c r="A54" s="5" t="inlineStr">
        <is>
          <t>YT-03</t>
        </is>
      </c>
      <c r="B54" s="5" t="inlineStr">
        <is>
          <t>YouTube</t>
        </is>
      </c>
      <c r="C54" s="5" t="inlineStr">
        <is>
          <t>how to start exercising</t>
        </is>
      </c>
      <c r="D54" s="5" t="inlineStr">
        <is>
          <t>https://www.youtube.com/watch?v=2qWoegDcHMI</t>
        </is>
      </c>
      <c r="E54" s="5" t="inlineStr">
        <is>
          <t>5 Beginner Gym Mistakes You Need to Avoid!</t>
        </is>
      </c>
      <c r="F54" s="5" t="inlineStr">
        <is>
          <t>PictureFit</t>
        </is>
      </c>
      <c r="G54" s="5" t="n"/>
      <c r="H54" s="6" t="inlineStr">
        <is>
          <t>2018-09-01</t>
        </is>
      </c>
      <c r="I54" s="7" t="n">
        <v>4118628</v>
      </c>
      <c r="J54" s="7" t="n">
        <v>110000</v>
      </c>
      <c r="K54" s="7" t="n"/>
      <c r="L54" s="7" t="n">
        <v>2278</v>
      </c>
      <c r="M54" s="5" t="n"/>
      <c r="N54" s="5" t="inlineStr">
        <is>
          <t>Long video (&gt;5min)</t>
        </is>
      </c>
      <c r="O54" s="5" t="n"/>
      <c r="P54" s="5" t="n"/>
      <c r="Q54" s="5" t="n"/>
      <c r="R54" s="5" t="n"/>
      <c r="S54" s="5" t="n"/>
      <c r="T54" s="5" t="n"/>
      <c r="U54" s="5" t="n"/>
      <c r="V54" s="5" t="n"/>
      <c r="W54" s="5" t="n"/>
      <c r="X54" s="5" t="n"/>
      <c r="Y54" s="5" t="n"/>
      <c r="Z54" s="5" t="n"/>
      <c r="AA54" s="5" t="n"/>
      <c r="AB54" s="5" t="n"/>
      <c r="AC54" s="5" t="n"/>
      <c r="AD54" s="5" t="n"/>
      <c r="AE54" s="7">
        <f>SUM(O54:V54)</f>
        <v/>
      </c>
      <c r="AF54" s="7">
        <f>SUM(W54:AC54)</f>
        <v/>
      </c>
      <c r="AG54" s="7">
        <f>SUM(O54:AD54)</f>
        <v/>
      </c>
      <c r="AH54" s="5">
        <f>IF(AG54="","",IF(AG54&lt;=26,"Very Poor",IF(AG54&lt;=38,"Poor",IF(AG54&lt;=50,"Fair",IF(AG54&lt;=62,"Good","Excellent")))))</f>
        <v/>
      </c>
      <c r="AI54" s="5" t="n"/>
      <c r="AJ54" s="5" t="n"/>
      <c r="AK54" s="5" t="n"/>
      <c r="AL54" s="5" t="n"/>
      <c r="AM54" s="7">
        <f>COUNTIF(AI54:AL54,"Y")</f>
        <v/>
      </c>
      <c r="AN54" s="5" t="n"/>
    </row>
    <row r="55">
      <c r="A55" s="5" t="inlineStr">
        <is>
          <t>YT-04</t>
        </is>
      </c>
      <c r="B55" s="5" t="inlineStr">
        <is>
          <t>YouTube</t>
        </is>
      </c>
      <c r="C55" s="5" t="inlineStr">
        <is>
          <t>how to start exercising</t>
        </is>
      </c>
      <c r="D55" s="5" t="inlineStr">
        <is>
          <t>https://www.youtube.com/watch?v=rBUjOY12gJA</t>
        </is>
      </c>
      <c r="E55" s="5" t="inlineStr">
        <is>
          <t>What Happens To Your Body When You Start Exercising Regularly | The Human Body</t>
        </is>
      </c>
      <c r="F55" s="5" t="inlineStr">
        <is>
          <t>Insider Tech</t>
        </is>
      </c>
      <c r="G55" s="5" t="n"/>
      <c r="H55" s="6" t="inlineStr">
        <is>
          <t>2018-01-24</t>
        </is>
      </c>
      <c r="I55" s="7" t="n">
        <v>9681417</v>
      </c>
      <c r="J55" s="7" t="n">
        <v>197000</v>
      </c>
      <c r="K55" s="7" t="n"/>
      <c r="L55" s="7" t="n">
        <v>4456</v>
      </c>
      <c r="M55" s="5" t="n"/>
      <c r="N55" s="5" t="inlineStr">
        <is>
          <t>Long video (&gt;5min)</t>
        </is>
      </c>
      <c r="O55" s="5" t="n"/>
      <c r="P55" s="5" t="n"/>
      <c r="Q55" s="5" t="n"/>
      <c r="R55" s="5" t="n"/>
      <c r="S55" s="5" t="n"/>
      <c r="T55" s="5" t="n"/>
      <c r="U55" s="5" t="n"/>
      <c r="V55" s="5" t="n"/>
      <c r="W55" s="5" t="n"/>
      <c r="X55" s="5" t="n"/>
      <c r="Y55" s="5" t="n"/>
      <c r="Z55" s="5" t="n"/>
      <c r="AA55" s="5" t="n"/>
      <c r="AB55" s="5" t="n"/>
      <c r="AC55" s="5" t="n"/>
      <c r="AD55" s="5" t="n"/>
      <c r="AE55" s="7">
        <f>SUM(O55:V55)</f>
        <v/>
      </c>
      <c r="AF55" s="7">
        <f>SUM(W55:AC55)</f>
        <v/>
      </c>
      <c r="AG55" s="7">
        <f>SUM(O55:AD55)</f>
        <v/>
      </c>
      <c r="AH55" s="5">
        <f>IF(AG55="","",IF(AG55&lt;=26,"Very Poor",IF(AG55&lt;=38,"Poor",IF(AG55&lt;=50,"Fair",IF(AG55&lt;=62,"Good","Excellent")))))</f>
        <v/>
      </c>
      <c r="AI55" s="5" t="n"/>
      <c r="AJ55" s="5" t="n"/>
      <c r="AK55" s="5" t="n"/>
      <c r="AL55" s="5" t="n"/>
      <c r="AM55" s="7">
        <f>COUNTIF(AI55:AL55,"Y")</f>
        <v/>
      </c>
      <c r="AN55" s="5" t="n"/>
    </row>
    <row r="56">
      <c r="A56" s="5" t="inlineStr">
        <is>
          <t>YT-05</t>
        </is>
      </c>
      <c r="B56" s="5" t="inlineStr">
        <is>
          <t>YouTube</t>
        </is>
      </c>
      <c r="C56" s="5" t="inlineStr">
        <is>
          <t>how to start exercising</t>
        </is>
      </c>
      <c r="D56" s="5" t="inlineStr">
        <is>
          <t>https://www.youtube.com/watch?v=KEhbYNmY3N4</t>
        </is>
      </c>
      <c r="E56" s="5" t="inlineStr">
        <is>
          <t>This Is What REALLY Happens As You Start Exercising (Animated)</t>
        </is>
      </c>
      <c r="F56" s="5" t="inlineStr">
        <is>
          <t>Practical Wisdom - Interesting Ideas</t>
        </is>
      </c>
      <c r="G56" s="5" t="n"/>
      <c r="H56" s="6" t="inlineStr">
        <is>
          <t>2018-12-23</t>
        </is>
      </c>
      <c r="I56" s="7" t="n">
        <v>8775113</v>
      </c>
      <c r="J56" s="7" t="n">
        <v>228000</v>
      </c>
      <c r="K56" s="7" t="n"/>
      <c r="L56" s="7" t="n">
        <v>5709</v>
      </c>
      <c r="M56" s="5" t="n"/>
      <c r="N56" s="5" t="inlineStr">
        <is>
          <t>Long video (&gt;5min)</t>
        </is>
      </c>
      <c r="O56" s="5" t="n"/>
      <c r="P56" s="5" t="n"/>
      <c r="Q56" s="5" t="n"/>
      <c r="R56" s="5" t="n"/>
      <c r="S56" s="5" t="n"/>
      <c r="T56" s="5" t="n"/>
      <c r="U56" s="5" t="n"/>
      <c r="V56" s="5" t="n"/>
      <c r="W56" s="5" t="n"/>
      <c r="X56" s="5" t="n"/>
      <c r="Y56" s="5" t="n"/>
      <c r="Z56" s="5" t="n"/>
      <c r="AA56" s="5" t="n"/>
      <c r="AB56" s="5" t="n"/>
      <c r="AC56" s="5" t="n"/>
      <c r="AD56" s="5" t="n"/>
      <c r="AE56" s="7">
        <f>SUM(O56:V56)</f>
        <v/>
      </c>
      <c r="AF56" s="7">
        <f>SUM(W56:AC56)</f>
        <v/>
      </c>
      <c r="AG56" s="7">
        <f>SUM(O56:AD56)</f>
        <v/>
      </c>
      <c r="AH56" s="5">
        <f>IF(AG56="","",IF(AG56&lt;=26,"Very Poor",IF(AG56&lt;=38,"Poor",IF(AG56&lt;=50,"Fair",IF(AG56&lt;=62,"Good","Excellent")))))</f>
        <v/>
      </c>
      <c r="AI56" s="5" t="n"/>
      <c r="AJ56" s="5" t="n"/>
      <c r="AK56" s="5" t="n"/>
      <c r="AL56" s="5" t="n"/>
      <c r="AM56" s="7">
        <f>COUNTIF(AI56:AL56,"Y")</f>
        <v/>
      </c>
      <c r="AN56" s="5" t="n"/>
    </row>
    <row r="57">
      <c r="A57" s="5" t="inlineStr">
        <is>
          <t>YT-06</t>
        </is>
      </c>
      <c r="B57" s="5" t="inlineStr">
        <is>
          <t>YouTube</t>
        </is>
      </c>
      <c r="C57" s="5" t="inlineStr">
        <is>
          <t>how to start exercising</t>
        </is>
      </c>
      <c r="D57" s="5" t="inlineStr">
        <is>
          <t>https://www.youtube.com/watch?v=k6Qp78Hh5DI</t>
        </is>
      </c>
      <c r="E57" s="5" t="inlineStr">
        <is>
          <t>How to start exercising when you're unfit</t>
        </is>
      </c>
      <c r="F57" s="5" t="inlineStr">
        <is>
          <t>Trimmed</t>
        </is>
      </c>
      <c r="G57" s="5" t="n"/>
      <c r="H57" s="6" t="inlineStr">
        <is>
          <t>2019-12-11</t>
        </is>
      </c>
      <c r="I57" s="7" t="n">
        <v>192896</v>
      </c>
      <c r="J57" s="7" t="n">
        <v>5800</v>
      </c>
      <c r="K57" s="7" t="n"/>
      <c r="L57" s="7" t="n">
        <v>209</v>
      </c>
      <c r="M57" s="5" t="n"/>
      <c r="N57" s="5" t="inlineStr">
        <is>
          <t>Long video (&gt;5min)</t>
        </is>
      </c>
      <c r="O57" s="5" t="n"/>
      <c r="P57" s="5" t="n"/>
      <c r="Q57" s="5" t="n"/>
      <c r="R57" s="5" t="n"/>
      <c r="S57" s="5" t="n"/>
      <c r="T57" s="5" t="n"/>
      <c r="U57" s="5" t="n"/>
      <c r="V57" s="5" t="n"/>
      <c r="W57" s="5" t="n"/>
      <c r="X57" s="5" t="n"/>
      <c r="Y57" s="5" t="n"/>
      <c r="Z57" s="5" t="n"/>
      <c r="AA57" s="5" t="n"/>
      <c r="AB57" s="5" t="n"/>
      <c r="AC57" s="5" t="n"/>
      <c r="AD57" s="5" t="n"/>
      <c r="AE57" s="7">
        <f>SUM(O57:V57)</f>
        <v/>
      </c>
      <c r="AF57" s="7">
        <f>SUM(W57:AC57)</f>
        <v/>
      </c>
      <c r="AG57" s="7">
        <f>SUM(O57:AD57)</f>
        <v/>
      </c>
      <c r="AH57" s="5">
        <f>IF(AG57="","",IF(AG57&lt;=26,"Very Poor",IF(AG57&lt;=38,"Poor",IF(AG57&lt;=50,"Fair",IF(AG57&lt;=62,"Good","Excellent")))))</f>
        <v/>
      </c>
      <c r="AI57" s="5" t="n"/>
      <c r="AJ57" s="5" t="n"/>
      <c r="AK57" s="5" t="n"/>
      <c r="AL57" s="5" t="n"/>
      <c r="AM57" s="7">
        <f>COUNTIF(AI57:AL57,"Y")</f>
        <v/>
      </c>
      <c r="AN57" s="5" t="n"/>
    </row>
    <row r="58">
      <c r="A58" s="5" t="inlineStr">
        <is>
          <t>YT-07</t>
        </is>
      </c>
      <c r="B58" s="5" t="inlineStr">
        <is>
          <t>YouTube</t>
        </is>
      </c>
      <c r="C58" s="5" t="inlineStr">
        <is>
          <t>how to start exercising</t>
        </is>
      </c>
      <c r="D58" s="5" t="inlineStr">
        <is>
          <t>https://www.youtube.com/watch?v=geUKI-2uWaY</t>
        </is>
      </c>
      <c r="E58" s="5" t="inlineStr">
        <is>
          <t>BEGINNER CALISTHENICS WORKOUT</t>
        </is>
      </c>
      <c r="F58" s="5" t="inlineStr">
        <is>
          <t>Meli</t>
        </is>
      </c>
      <c r="G58" s="5" t="n"/>
      <c r="H58" s="6" t="inlineStr">
        <is>
          <t>2023-09-17</t>
        </is>
      </c>
      <c r="I58" s="7" t="n">
        <v>6696076</v>
      </c>
      <c r="J58" s="7" t="n">
        <v>291000</v>
      </c>
      <c r="K58" s="7" t="n"/>
      <c r="L58" s="7" t="n">
        <v>2365</v>
      </c>
      <c r="M58" s="5" t="n"/>
      <c r="N58" s="5" t="inlineStr">
        <is>
          <t>Long video (&gt;5min)</t>
        </is>
      </c>
      <c r="O58" s="5" t="n"/>
      <c r="P58" s="5" t="n"/>
      <c r="Q58" s="5" t="n"/>
      <c r="R58" s="5" t="n"/>
      <c r="S58" s="5" t="n"/>
      <c r="T58" s="5" t="n"/>
      <c r="U58" s="5" t="n"/>
      <c r="V58" s="5" t="n"/>
      <c r="W58" s="5" t="n"/>
      <c r="X58" s="5" t="n"/>
      <c r="Y58" s="5" t="n"/>
      <c r="Z58" s="5" t="n"/>
      <c r="AA58" s="5" t="n"/>
      <c r="AB58" s="5" t="n"/>
      <c r="AC58" s="5" t="n"/>
      <c r="AD58" s="5" t="n"/>
      <c r="AE58" s="7">
        <f>SUM(O58:V58)</f>
        <v/>
      </c>
      <c r="AF58" s="7">
        <f>SUM(W58:AC58)</f>
        <v/>
      </c>
      <c r="AG58" s="7">
        <f>SUM(O58:AD58)</f>
        <v/>
      </c>
      <c r="AH58" s="5">
        <f>IF(AG58="","",IF(AG58&lt;=26,"Very Poor",IF(AG58&lt;=38,"Poor",IF(AG58&lt;=50,"Fair",IF(AG58&lt;=62,"Good","Excellent")))))</f>
        <v/>
      </c>
      <c r="AI58" s="5" t="n"/>
      <c r="AJ58" s="5" t="n"/>
      <c r="AK58" s="5" t="n"/>
      <c r="AL58" s="5" t="n"/>
      <c r="AM58" s="7">
        <f>COUNTIF(AI58:AL58,"Y")</f>
        <v/>
      </c>
      <c r="AN58" s="5" t="n"/>
    </row>
    <row r="59">
      <c r="A59" s="5" t="inlineStr">
        <is>
          <t>YT-08</t>
        </is>
      </c>
      <c r="B59" s="5" t="inlineStr">
        <is>
          <t>YouTube</t>
        </is>
      </c>
      <c r="C59" s="5" t="inlineStr">
        <is>
          <t>how to start exercising</t>
        </is>
      </c>
      <c r="D59" s="5" t="inlineStr">
        <is>
          <t>https://www.youtube.com/watch?v=Wa4f7f5y7uQ</t>
        </is>
      </c>
      <c r="E59" s="5" t="inlineStr">
        <is>
          <t>How to Create the Perfect Workout Plan | Beginner Guide</t>
        </is>
      </c>
      <c r="F59" s="5" t="inlineStr">
        <is>
          <t>Magnus Method</t>
        </is>
      </c>
      <c r="G59" s="5" t="n"/>
      <c r="H59" s="6" t="inlineStr">
        <is>
          <t>2022-02-04</t>
        </is>
      </c>
      <c r="I59" s="7" t="n">
        <v>799909</v>
      </c>
      <c r="J59" s="7" t="n">
        <v>19000</v>
      </c>
      <c r="K59" s="7" t="n"/>
      <c r="L59" s="7" t="n">
        <v>248</v>
      </c>
      <c r="M59" s="5" t="n"/>
      <c r="N59" s="5" t="inlineStr">
        <is>
          <t>Long video (&gt;5min)</t>
        </is>
      </c>
      <c r="O59" s="5" t="n"/>
      <c r="P59" s="5" t="n"/>
      <c r="Q59" s="5" t="n"/>
      <c r="R59" s="5" t="n"/>
      <c r="S59" s="5" t="n"/>
      <c r="T59" s="5" t="n"/>
      <c r="U59" s="5" t="n"/>
      <c r="V59" s="5" t="n"/>
      <c r="W59" s="5" t="n"/>
      <c r="X59" s="5" t="n"/>
      <c r="Y59" s="5" t="n"/>
      <c r="Z59" s="5" t="n"/>
      <c r="AA59" s="5" t="n"/>
      <c r="AB59" s="5" t="n"/>
      <c r="AC59" s="5" t="n"/>
      <c r="AD59" s="5" t="n"/>
      <c r="AE59" s="7">
        <f>SUM(O59:V59)</f>
        <v/>
      </c>
      <c r="AF59" s="7">
        <f>SUM(W59:AC59)</f>
        <v/>
      </c>
      <c r="AG59" s="7">
        <f>SUM(O59:AD59)</f>
        <v/>
      </c>
      <c r="AH59" s="5">
        <f>IF(AG59="","",IF(AG59&lt;=26,"Very Poor",IF(AG59&lt;=38,"Poor",IF(AG59&lt;=50,"Fair",IF(AG59&lt;=62,"Good","Excellent")))))</f>
        <v/>
      </c>
      <c r="AI59" s="5" t="n"/>
      <c r="AJ59" s="5" t="n"/>
      <c r="AK59" s="5" t="n"/>
      <c r="AL59" s="5" t="n"/>
      <c r="AM59" s="7">
        <f>COUNTIF(AI59:AL59,"Y")</f>
        <v/>
      </c>
      <c r="AN59" s="5" t="n"/>
    </row>
    <row r="60">
      <c r="A60" s="5" t="inlineStr">
        <is>
          <t>YT-09</t>
        </is>
      </c>
      <c r="B60" s="5" t="inlineStr">
        <is>
          <t>YouTube</t>
        </is>
      </c>
      <c r="C60" s="5" t="inlineStr">
        <is>
          <t>how to start exercising</t>
        </is>
      </c>
      <c r="D60" s="5" t="inlineStr">
        <is>
          <t>https://www.youtube.com/watch?v=RPtNUn1HhJE</t>
        </is>
      </c>
      <c r="E60" s="5" t="inlineStr">
        <is>
          <t>Start Exercise After Years of Inactivity: Here's Your Over 50 Fitness Plan</t>
        </is>
      </c>
      <c r="F60" s="5" t="inlineStr">
        <is>
          <t>Alicia Jones Healthy Living</t>
        </is>
      </c>
      <c r="G60" s="5" t="n"/>
      <c r="H60" s="6" t="inlineStr">
        <is>
          <t>2022-07-14</t>
        </is>
      </c>
      <c r="I60" s="7" t="n">
        <v>18144</v>
      </c>
      <c r="J60" s="7" t="n">
        <v>321</v>
      </c>
      <c r="K60" s="7" t="n"/>
      <c r="L60" s="7" t="n">
        <v>15</v>
      </c>
      <c r="M60" s="5" t="n"/>
      <c r="N60" s="5" t="inlineStr">
        <is>
          <t>Long video (&gt;5min)</t>
        </is>
      </c>
      <c r="O60" s="5" t="n"/>
      <c r="P60" s="5" t="n"/>
      <c r="Q60" s="5" t="n"/>
      <c r="R60" s="5" t="n"/>
      <c r="S60" s="5" t="n"/>
      <c r="T60" s="5" t="n"/>
      <c r="U60" s="5" t="n"/>
      <c r="V60" s="5" t="n"/>
      <c r="W60" s="5" t="n"/>
      <c r="X60" s="5" t="n"/>
      <c r="Y60" s="5" t="n"/>
      <c r="Z60" s="5" t="n"/>
      <c r="AA60" s="5" t="n"/>
      <c r="AB60" s="5" t="n"/>
      <c r="AC60" s="5" t="n"/>
      <c r="AD60" s="5" t="n"/>
      <c r="AE60" s="7">
        <f>SUM(O60:V60)</f>
        <v/>
      </c>
      <c r="AF60" s="7">
        <f>SUM(W60:AC60)</f>
        <v/>
      </c>
      <c r="AG60" s="7">
        <f>SUM(O60:AD60)</f>
        <v/>
      </c>
      <c r="AH60" s="5">
        <f>IF(AG60="","",IF(AG60&lt;=26,"Very Poor",IF(AG60&lt;=38,"Poor",IF(AG60&lt;=50,"Fair",IF(AG60&lt;=62,"Good","Excellent")))))</f>
        <v/>
      </c>
      <c r="AI60" s="5" t="n"/>
      <c r="AJ60" s="5" t="n"/>
      <c r="AK60" s="5" t="n"/>
      <c r="AL60" s="5" t="n"/>
      <c r="AM60" s="7">
        <f>COUNTIF(AI60:AL60,"Y")</f>
        <v/>
      </c>
      <c r="AN60" s="5" t="n"/>
    </row>
    <row r="61">
      <c r="A61" s="5" t="inlineStr">
        <is>
          <t>YT-10</t>
        </is>
      </c>
      <c r="B61" s="5" t="inlineStr">
        <is>
          <t>YouTube</t>
        </is>
      </c>
      <c r="C61" s="5" t="inlineStr">
        <is>
          <t>how to start exercising</t>
        </is>
      </c>
      <c r="D61" s="5" t="inlineStr">
        <is>
          <t>https://www.youtube.com/watch?v=MilYefF9DjI</t>
        </is>
      </c>
      <c r="E61" s="5" t="inlineStr">
        <is>
          <t>What Happens to Your Body When You Start Exercising?</t>
        </is>
      </c>
      <c r="F61" s="5" t="inlineStr">
        <is>
          <t>The Infographics Show</t>
        </is>
      </c>
      <c r="G61" s="5" t="n"/>
      <c r="H61" s="6" t="inlineStr">
        <is>
          <t>2022-08-06</t>
        </is>
      </c>
      <c r="I61" s="7" t="n">
        <v>5526432</v>
      </c>
      <c r="J61" s="7" t="n">
        <v>137000</v>
      </c>
      <c r="K61" s="7" t="n"/>
      <c r="L61" s="7" t="n">
        <v>2924</v>
      </c>
      <c r="M61" s="5" t="n"/>
      <c r="N61" s="5" t="inlineStr">
        <is>
          <t>Long video (&gt;5min)</t>
        </is>
      </c>
      <c r="O61" s="5" t="n"/>
      <c r="P61" s="5" t="n"/>
      <c r="Q61" s="5" t="n"/>
      <c r="R61" s="5" t="n"/>
      <c r="S61" s="5" t="n"/>
      <c r="T61" s="5" t="n"/>
      <c r="U61" s="5" t="n"/>
      <c r="V61" s="5" t="n"/>
      <c r="W61" s="5" t="n"/>
      <c r="X61" s="5" t="n"/>
      <c r="Y61" s="5" t="n"/>
      <c r="Z61" s="5" t="n"/>
      <c r="AA61" s="5" t="n"/>
      <c r="AB61" s="5" t="n"/>
      <c r="AC61" s="5" t="n"/>
      <c r="AD61" s="5" t="n"/>
      <c r="AE61" s="7">
        <f>SUM(O61:V61)</f>
        <v/>
      </c>
      <c r="AF61" s="7">
        <f>SUM(W61:AC61)</f>
        <v/>
      </c>
      <c r="AG61" s="7">
        <f>SUM(O61:AD61)</f>
        <v/>
      </c>
      <c r="AH61" s="5">
        <f>IF(AG61="","",IF(AG61&lt;=26,"Very Poor",IF(AG61&lt;=38,"Poor",IF(AG61&lt;=50,"Fair",IF(AG61&lt;=62,"Good","Excellent")))))</f>
        <v/>
      </c>
      <c r="AI61" s="5" t="n"/>
      <c r="AJ61" s="5" t="n"/>
      <c r="AK61" s="5" t="n"/>
      <c r="AL61" s="5" t="n"/>
      <c r="AM61" s="7">
        <f>COUNTIF(AI61:AL61,"Y")</f>
        <v/>
      </c>
      <c r="AN61" s="5" t="n"/>
    </row>
    <row r="62">
      <c r="A62" s="5" t="inlineStr">
        <is>
          <t>YT-11</t>
        </is>
      </c>
      <c r="B62" s="5" t="inlineStr">
        <is>
          <t>YouTube</t>
        </is>
      </c>
      <c r="C62" s="5" t="inlineStr">
        <is>
          <t>best exercises to lose weight</t>
        </is>
      </c>
      <c r="D62" s="5" t="inlineStr">
        <is>
          <t>https://www.youtube.com/watch?v=Dj0bk8TFWdY</t>
        </is>
      </c>
      <c r="E62" s="5" t="inlineStr">
        <is>
          <t>FULL BODY FAT LOSS in 14 Days NO JUMPING | Free Home Workout Guide</t>
        </is>
      </c>
      <c r="F62" s="5" t="inlineStr">
        <is>
          <t>Lilly Sabri</t>
        </is>
      </c>
      <c r="G62" s="5" t="n"/>
      <c r="H62" s="6" t="inlineStr">
        <is>
          <t>2020-03-30</t>
        </is>
      </c>
      <c r="I62" s="7" t="n">
        <v>11719068</v>
      </c>
      <c r="J62" s="7" t="n">
        <v>298000</v>
      </c>
      <c r="K62" s="7" t="n"/>
      <c r="L62" s="7" t="n">
        <v>6607</v>
      </c>
      <c r="M62" s="5" t="n"/>
      <c r="N62" s="5" t="inlineStr">
        <is>
          <t>Long video (&gt;5min)</t>
        </is>
      </c>
      <c r="O62" s="5" t="n"/>
      <c r="P62" s="5" t="n"/>
      <c r="Q62" s="5" t="n"/>
      <c r="R62" s="5" t="n"/>
      <c r="S62" s="5" t="n"/>
      <c r="T62" s="5" t="n"/>
      <c r="U62" s="5" t="n"/>
      <c r="V62" s="5" t="n"/>
      <c r="W62" s="5" t="n"/>
      <c r="X62" s="5" t="n"/>
      <c r="Y62" s="5" t="n"/>
      <c r="Z62" s="5" t="n"/>
      <c r="AA62" s="5" t="n"/>
      <c r="AB62" s="5" t="n"/>
      <c r="AC62" s="5" t="n"/>
      <c r="AD62" s="5" t="n"/>
      <c r="AE62" s="7">
        <f>SUM(O62:V62)</f>
        <v/>
      </c>
      <c r="AF62" s="7">
        <f>SUM(W62:AC62)</f>
        <v/>
      </c>
      <c r="AG62" s="7">
        <f>SUM(O62:AD62)</f>
        <v/>
      </c>
      <c r="AH62" s="5">
        <f>IF(AG62="","",IF(AG62&lt;=26,"Very Poor",IF(AG62&lt;=38,"Poor",IF(AG62&lt;=50,"Fair",IF(AG62&lt;=62,"Good","Excellent")))))</f>
        <v/>
      </c>
      <c r="AI62" s="5" t="n"/>
      <c r="AJ62" s="5" t="n"/>
      <c r="AK62" s="5" t="n"/>
      <c r="AL62" s="5" t="n"/>
      <c r="AM62" s="7">
        <f>COUNTIF(AI62:AL62,"Y")</f>
        <v/>
      </c>
      <c r="AN62" s="5" t="n"/>
    </row>
    <row r="63">
      <c r="A63" s="5" t="inlineStr">
        <is>
          <t>YT-12</t>
        </is>
      </c>
      <c r="B63" s="5" t="inlineStr">
        <is>
          <t>YouTube</t>
        </is>
      </c>
      <c r="C63" s="5" t="inlineStr">
        <is>
          <t>best exercises to lose weight</t>
        </is>
      </c>
      <c r="D63" s="5" t="inlineStr">
        <is>
          <t>https://www.youtube.com/watch?v=rHhB-KsFMVw</t>
        </is>
      </c>
      <c r="E63" s="5" t="inlineStr">
        <is>
          <t>The Best Exercises for Hanging Belly Fat | 30-min Workout To LOSE 3 INCHES OFF WAIST in 1 Week</t>
        </is>
      </c>
      <c r="F63" s="5" t="inlineStr">
        <is>
          <t>FITNESS CIRCLE</t>
        </is>
      </c>
      <c r="G63" s="5" t="n"/>
      <c r="H63" s="6" t="inlineStr">
        <is>
          <t>2024-01-26</t>
        </is>
      </c>
      <c r="I63" s="7" t="n">
        <v>11707477</v>
      </c>
      <c r="J63" s="7" t="n">
        <v>137000</v>
      </c>
      <c r="K63" s="7" t="n"/>
      <c r="L63" s="7" t="n">
        <v>1352</v>
      </c>
      <c r="M63" s="5" t="n"/>
      <c r="N63" s="5" t="inlineStr">
        <is>
          <t>Long video (&gt;5min)</t>
        </is>
      </c>
      <c r="O63" s="5" t="n"/>
      <c r="P63" s="5" t="n"/>
      <c r="Q63" s="5" t="n"/>
      <c r="R63" s="5" t="n"/>
      <c r="S63" s="5" t="n"/>
      <c r="T63" s="5" t="n"/>
      <c r="U63" s="5" t="n"/>
      <c r="V63" s="5" t="n"/>
      <c r="W63" s="5" t="n"/>
      <c r="X63" s="5" t="n"/>
      <c r="Y63" s="5" t="n"/>
      <c r="Z63" s="5" t="n"/>
      <c r="AA63" s="5" t="n"/>
      <c r="AB63" s="5" t="n"/>
      <c r="AC63" s="5" t="n"/>
      <c r="AD63" s="5" t="n"/>
      <c r="AE63" s="7">
        <f>SUM(O63:V63)</f>
        <v/>
      </c>
      <c r="AF63" s="7">
        <f>SUM(W63:AC63)</f>
        <v/>
      </c>
      <c r="AG63" s="7">
        <f>SUM(O63:AD63)</f>
        <v/>
      </c>
      <c r="AH63" s="5">
        <f>IF(AG63="","",IF(AG63&lt;=26,"Very Poor",IF(AG63&lt;=38,"Poor",IF(AG63&lt;=50,"Fair",IF(AG63&lt;=62,"Good","Excellent")))))</f>
        <v/>
      </c>
      <c r="AI63" s="5" t="n"/>
      <c r="AJ63" s="5" t="n"/>
      <c r="AK63" s="5" t="n"/>
      <c r="AL63" s="5" t="n"/>
      <c r="AM63" s="7">
        <f>COUNTIF(AI63:AL63,"Y")</f>
        <v/>
      </c>
      <c r="AN63" s="5" t="n"/>
    </row>
    <row r="64">
      <c r="A64" s="5" t="inlineStr">
        <is>
          <t>YT-13</t>
        </is>
      </c>
      <c r="B64" s="5" t="inlineStr">
        <is>
          <t>YouTube</t>
        </is>
      </c>
      <c r="C64" s="5" t="inlineStr">
        <is>
          <t>best exercises to lose weight</t>
        </is>
      </c>
      <c r="D64" s="5" t="inlineStr">
        <is>
          <t>https://www.youtube.com/watch?v=kdpHMdFScm8</t>
        </is>
      </c>
      <c r="E64" s="5" t="inlineStr">
        <is>
          <t>Most Effective Exercises For Fast Weight Loss In 20 Min | No Equipment Home Workout To Reduce Weight</t>
        </is>
      </c>
      <c r="F64" s="5" t="inlineStr">
        <is>
          <t>The Gainz Center</t>
        </is>
      </c>
      <c r="G64" s="5" t="n"/>
      <c r="H64" s="6" t="inlineStr">
        <is>
          <t>2020-08-21</t>
        </is>
      </c>
      <c r="I64" s="7" t="n">
        <v>1541617</v>
      </c>
      <c r="J64" s="7" t="n">
        <v>27000</v>
      </c>
      <c r="K64" s="7" t="n"/>
      <c r="L64" s="7" t="n">
        <v>924</v>
      </c>
      <c r="M64" s="5" t="n"/>
      <c r="N64" s="5" t="inlineStr">
        <is>
          <t>Long video (&gt;5min)</t>
        </is>
      </c>
      <c r="O64" s="5" t="n"/>
      <c r="P64" s="5" t="n"/>
      <c r="Q64" s="5" t="n"/>
      <c r="R64" s="5" t="n"/>
      <c r="S64" s="5" t="n"/>
      <c r="T64" s="5" t="n"/>
      <c r="U64" s="5" t="n"/>
      <c r="V64" s="5" t="n"/>
      <c r="W64" s="5" t="n"/>
      <c r="X64" s="5" t="n"/>
      <c r="Y64" s="5" t="n"/>
      <c r="Z64" s="5" t="n"/>
      <c r="AA64" s="5" t="n"/>
      <c r="AB64" s="5" t="n"/>
      <c r="AC64" s="5" t="n"/>
      <c r="AD64" s="5" t="n"/>
      <c r="AE64" s="7">
        <f>SUM(O64:V64)</f>
        <v/>
      </c>
      <c r="AF64" s="7">
        <f>SUM(W64:AC64)</f>
        <v/>
      </c>
      <c r="AG64" s="7">
        <f>SUM(O64:AD64)</f>
        <v/>
      </c>
      <c r="AH64" s="5">
        <f>IF(AG64="","",IF(AG64&lt;=26,"Very Poor",IF(AG64&lt;=38,"Poor",IF(AG64&lt;=50,"Fair",IF(AG64&lt;=62,"Good","Excellent")))))</f>
        <v/>
      </c>
      <c r="AI64" s="5" t="n"/>
      <c r="AJ64" s="5" t="n"/>
      <c r="AK64" s="5" t="n"/>
      <c r="AL64" s="5" t="n"/>
      <c r="AM64" s="7">
        <f>COUNTIF(AI64:AL64,"Y")</f>
        <v/>
      </c>
      <c r="AN64" s="5" t="n"/>
    </row>
    <row r="65">
      <c r="A65" s="5" t="inlineStr">
        <is>
          <t>YT-14</t>
        </is>
      </c>
      <c r="B65" s="5" t="inlineStr">
        <is>
          <t>YouTube</t>
        </is>
      </c>
      <c r="C65" s="5" t="inlineStr">
        <is>
          <t>best exercises to lose weight</t>
        </is>
      </c>
      <c r="D65" s="5" t="inlineStr">
        <is>
          <t>https://www.youtube.com/watch?v=7fICF_O5esc</t>
        </is>
      </c>
      <c r="E65" s="5" t="inlineStr">
        <is>
          <t>The PERFECT Workout to Lose Weight (Sets and Reps Included)</t>
        </is>
      </c>
      <c r="F65" s="5" t="inlineStr">
        <is>
          <t>ATHLEAN-X™</t>
        </is>
      </c>
      <c r="G65" s="5" t="n"/>
      <c r="H65" s="6" t="inlineStr">
        <is>
          <t>2020-01-26</t>
        </is>
      </c>
      <c r="I65" s="7" t="n">
        <v>3762967</v>
      </c>
      <c r="J65" s="7" t="n">
        <v>125000</v>
      </c>
      <c r="K65" s="7" t="n"/>
      <c r="L65" s="7" t="n">
        <v>3924</v>
      </c>
      <c r="M65" s="5" t="n"/>
      <c r="N65" s="5" t="inlineStr">
        <is>
          <t>Long video (&gt;5min)</t>
        </is>
      </c>
      <c r="O65" s="5" t="n"/>
      <c r="P65" s="5" t="n"/>
      <c r="Q65" s="5" t="n"/>
      <c r="R65" s="5" t="n"/>
      <c r="S65" s="5" t="n"/>
      <c r="T65" s="5" t="n"/>
      <c r="U65" s="5" t="n"/>
      <c r="V65" s="5" t="n"/>
      <c r="W65" s="5" t="n"/>
      <c r="X65" s="5" t="n"/>
      <c r="Y65" s="5" t="n"/>
      <c r="Z65" s="5" t="n"/>
      <c r="AA65" s="5" t="n"/>
      <c r="AB65" s="5" t="n"/>
      <c r="AC65" s="5" t="n"/>
      <c r="AD65" s="5" t="n"/>
      <c r="AE65" s="7">
        <f>SUM(O65:V65)</f>
        <v/>
      </c>
      <c r="AF65" s="7">
        <f>SUM(W65:AC65)</f>
        <v/>
      </c>
      <c r="AG65" s="7">
        <f>SUM(O65:AD65)</f>
        <v/>
      </c>
      <c r="AH65" s="5">
        <f>IF(AG65="","",IF(AG65&lt;=26,"Very Poor",IF(AG65&lt;=38,"Poor",IF(AG65&lt;=50,"Fair",IF(AG65&lt;=62,"Good","Excellent")))))</f>
        <v/>
      </c>
      <c r="AI65" s="5" t="n"/>
      <c r="AJ65" s="5" t="n"/>
      <c r="AK65" s="5" t="n"/>
      <c r="AL65" s="5" t="n"/>
      <c r="AM65" s="7">
        <f>COUNTIF(AI65:AL65,"Y")</f>
        <v/>
      </c>
      <c r="AN65" s="5" t="n"/>
    </row>
    <row r="66">
      <c r="A66" s="5" t="inlineStr">
        <is>
          <t>YT-15</t>
        </is>
      </c>
      <c r="B66" s="5" t="inlineStr">
        <is>
          <t>YouTube</t>
        </is>
      </c>
      <c r="C66" s="5" t="inlineStr">
        <is>
          <t>best exercises to lose weight</t>
        </is>
      </c>
      <c r="D66" s="5" t="inlineStr">
        <is>
          <t>https://www.youtube.com/watch?v=wXzveroBplo</t>
        </is>
      </c>
      <c r="E66" s="5" t="inlineStr">
        <is>
          <t>the Best Workout to Lose Weight Fast 👉 Lose 10 Pounds in 3 Days</t>
        </is>
      </c>
      <c r="F66" s="5" t="inlineStr">
        <is>
          <t>Adrian Bryant</t>
        </is>
      </c>
      <c r="G66" s="5" t="n"/>
      <c r="H66" s="6" t="inlineStr">
        <is>
          <t>2019-09-15</t>
        </is>
      </c>
      <c r="I66" s="7" t="n">
        <v>8516467</v>
      </c>
      <c r="J66" s="7" t="n">
        <v>260000</v>
      </c>
      <c r="K66" s="7" t="n"/>
      <c r="L66" s="7" t="n">
        <v>37768</v>
      </c>
      <c r="M66" s="5" t="n"/>
      <c r="N66" s="5" t="inlineStr">
        <is>
          <t>Long video (&gt;5min)</t>
        </is>
      </c>
      <c r="O66" s="5" t="n"/>
      <c r="P66" s="5" t="n"/>
      <c r="Q66" s="5" t="n"/>
      <c r="R66" s="5" t="n"/>
      <c r="S66" s="5" t="n"/>
      <c r="T66" s="5" t="n"/>
      <c r="U66" s="5" t="n"/>
      <c r="V66" s="5" t="n"/>
      <c r="W66" s="5" t="n"/>
      <c r="X66" s="5" t="n"/>
      <c r="Y66" s="5" t="n"/>
      <c r="Z66" s="5" t="n"/>
      <c r="AA66" s="5" t="n"/>
      <c r="AB66" s="5" t="n"/>
      <c r="AC66" s="5" t="n"/>
      <c r="AD66" s="5" t="n"/>
      <c r="AE66" s="7">
        <f>SUM(O66:V66)</f>
        <v/>
      </c>
      <c r="AF66" s="7">
        <f>SUM(W66:AC66)</f>
        <v/>
      </c>
      <c r="AG66" s="7">
        <f>SUM(O66:AD66)</f>
        <v/>
      </c>
      <c r="AH66" s="5">
        <f>IF(AG66="","",IF(AG66&lt;=26,"Very Poor",IF(AG66&lt;=38,"Poor",IF(AG66&lt;=50,"Fair",IF(AG66&lt;=62,"Good","Excellent")))))</f>
        <v/>
      </c>
      <c r="AI66" s="5" t="n"/>
      <c r="AJ66" s="5" t="n"/>
      <c r="AK66" s="5" t="n"/>
      <c r="AL66" s="5" t="n"/>
      <c r="AM66" s="7">
        <f>COUNTIF(AI66:AL66,"Y")</f>
        <v/>
      </c>
      <c r="AN66" s="5" t="n"/>
    </row>
    <row r="67">
      <c r="A67" s="5" t="inlineStr">
        <is>
          <t>YT-16</t>
        </is>
      </c>
      <c r="B67" s="5" t="inlineStr">
        <is>
          <t>YouTube</t>
        </is>
      </c>
      <c r="C67" s="5" t="inlineStr">
        <is>
          <t>best exercises to lose weight</t>
        </is>
      </c>
      <c r="D67" s="5" t="inlineStr">
        <is>
          <t>https://www.youtube.com/watch?v=UheajlsZ72E</t>
        </is>
      </c>
      <c r="E67" s="5" t="inlineStr">
        <is>
          <t>10 Min Fat Burning Workout | No Equipment</t>
        </is>
      </c>
      <c r="F67" s="5" t="inlineStr">
        <is>
          <t>THENX</t>
        </is>
      </c>
      <c r="G67" s="5" t="n"/>
      <c r="H67" s="6" t="inlineStr">
        <is>
          <t>2021-05-16</t>
        </is>
      </c>
      <c r="I67" s="7" t="n">
        <v>7231428</v>
      </c>
      <c r="J67" s="7" t="n">
        <v>201000</v>
      </c>
      <c r="K67" s="7" t="n"/>
      <c r="L67" s="7" t="n">
        <v>4292</v>
      </c>
      <c r="M67" s="5" t="n"/>
      <c r="N67" s="5" t="inlineStr">
        <is>
          <t>Long video (&gt;5min)</t>
        </is>
      </c>
      <c r="O67" s="5" t="n"/>
      <c r="P67" s="5" t="n"/>
      <c r="Q67" s="5" t="n"/>
      <c r="R67" s="5" t="n"/>
      <c r="S67" s="5" t="n"/>
      <c r="T67" s="5" t="n"/>
      <c r="U67" s="5" t="n"/>
      <c r="V67" s="5" t="n"/>
      <c r="W67" s="5" t="n"/>
      <c r="X67" s="5" t="n"/>
      <c r="Y67" s="5" t="n"/>
      <c r="Z67" s="5" t="n"/>
      <c r="AA67" s="5" t="n"/>
      <c r="AB67" s="5" t="n"/>
      <c r="AC67" s="5" t="n"/>
      <c r="AD67" s="5" t="n"/>
      <c r="AE67" s="7">
        <f>SUM(O67:V67)</f>
        <v/>
      </c>
      <c r="AF67" s="7">
        <f>SUM(W67:AC67)</f>
        <v/>
      </c>
      <c r="AG67" s="7">
        <f>SUM(O67:AD67)</f>
        <v/>
      </c>
      <c r="AH67" s="5">
        <f>IF(AG67="","",IF(AG67&lt;=26,"Very Poor",IF(AG67&lt;=38,"Poor",IF(AG67&lt;=50,"Fair",IF(AG67&lt;=62,"Good","Excellent")))))</f>
        <v/>
      </c>
      <c r="AI67" s="5" t="n"/>
      <c r="AJ67" s="5" t="n"/>
      <c r="AK67" s="5" t="n"/>
      <c r="AL67" s="5" t="n"/>
      <c r="AM67" s="7">
        <f>COUNTIF(AI67:AL67,"Y")</f>
        <v/>
      </c>
      <c r="AN67" s="5" t="n"/>
    </row>
    <row r="68">
      <c r="A68" s="5" t="inlineStr">
        <is>
          <t>YT-17</t>
        </is>
      </c>
      <c r="B68" s="5" t="inlineStr">
        <is>
          <t>YouTube</t>
        </is>
      </c>
      <c r="C68" s="5" t="inlineStr">
        <is>
          <t>best exercises to lose weight</t>
        </is>
      </c>
      <c r="D68" s="5" t="inlineStr">
        <is>
          <t>https://www.youtube.com/watch?v=Fz89dJTZsko</t>
        </is>
      </c>
      <c r="E68" s="5" t="inlineStr">
        <is>
          <t>Everything That Burns More Fat Than Jogging</t>
        </is>
      </c>
      <c r="F68" s="5" t="inlineStr">
        <is>
          <t>Jeremy Ethier</t>
        </is>
      </c>
      <c r="G68" s="5" t="n"/>
      <c r="H68" s="6" t="inlineStr">
        <is>
          <t>2025-08-03</t>
        </is>
      </c>
      <c r="I68" s="7" t="n">
        <v>3084549</v>
      </c>
      <c r="J68" s="7" t="n">
        <v>62000</v>
      </c>
      <c r="K68" s="7" t="n"/>
      <c r="L68" s="7" t="n">
        <v>3662</v>
      </c>
      <c r="M68" s="5" t="n"/>
      <c r="N68" s="5" t="inlineStr">
        <is>
          <t>Long video (&gt;5min)</t>
        </is>
      </c>
      <c r="O68" s="5" t="n"/>
      <c r="P68" s="5" t="n"/>
      <c r="Q68" s="5" t="n"/>
      <c r="R68" s="5" t="n"/>
      <c r="S68" s="5" t="n"/>
      <c r="T68" s="5" t="n"/>
      <c r="U68" s="5" t="n"/>
      <c r="V68" s="5" t="n"/>
      <c r="W68" s="5" t="n"/>
      <c r="X68" s="5" t="n"/>
      <c r="Y68" s="5" t="n"/>
      <c r="Z68" s="5" t="n"/>
      <c r="AA68" s="5" t="n"/>
      <c r="AB68" s="5" t="n"/>
      <c r="AC68" s="5" t="n"/>
      <c r="AD68" s="5" t="n"/>
      <c r="AE68" s="7">
        <f>SUM(O68:V68)</f>
        <v/>
      </c>
      <c r="AF68" s="7">
        <f>SUM(W68:AC68)</f>
        <v/>
      </c>
      <c r="AG68" s="7">
        <f>SUM(O68:AD68)</f>
        <v/>
      </c>
      <c r="AH68" s="5">
        <f>IF(AG68="","",IF(AG68&lt;=26,"Very Poor",IF(AG68&lt;=38,"Poor",IF(AG68&lt;=50,"Fair",IF(AG68&lt;=62,"Good","Excellent")))))</f>
        <v/>
      </c>
      <c r="AI68" s="5" t="n"/>
      <c r="AJ68" s="5" t="n"/>
      <c r="AK68" s="5" t="n"/>
      <c r="AL68" s="5" t="n"/>
      <c r="AM68" s="7">
        <f>COUNTIF(AI68:AL68,"Y")</f>
        <v/>
      </c>
      <c r="AN68" s="5" t="n"/>
    </row>
    <row r="69">
      <c r="A69" s="5" t="inlineStr">
        <is>
          <t>YT-18</t>
        </is>
      </c>
      <c r="B69" s="5" t="inlineStr">
        <is>
          <t>YouTube</t>
        </is>
      </c>
      <c r="C69" s="5" t="inlineStr">
        <is>
          <t>best exercises to lose weight</t>
        </is>
      </c>
      <c r="D69" s="5" t="inlineStr">
        <is>
          <t>https://www.youtube.com/watch?v=IT94xC35u6k</t>
        </is>
      </c>
      <c r="E69" s="5" t="inlineStr">
        <is>
          <t>"20 min Fat Burning Workout for TOTAL BEGINNERS (Achievable</t>
        </is>
      </c>
      <c r="F69" s="5" t="inlineStr">
        <is>
          <t>No Equipment)"</t>
        </is>
      </c>
      <c r="G69" s="5" t="n"/>
      <c r="H69" s="6" t="inlineStr">
        <is>
          <t>MadFit</t>
        </is>
      </c>
      <c r="I69" s="7" t="n"/>
      <c r="J69" s="7" t="n">
        <v>34467720</v>
      </c>
      <c r="K69" s="7" t="n"/>
      <c r="L69" s="7" t="n">
        <v>618000</v>
      </c>
      <c r="M69" s="5" t="n"/>
      <c r="N69" s="5" t="inlineStr">
        <is>
          <t>16046</t>
        </is>
      </c>
      <c r="O69" s="5" t="n"/>
      <c r="P69" s="5" t="n"/>
      <c r="Q69" s="5" t="n"/>
      <c r="R69" s="5" t="n"/>
      <c r="S69" s="5" t="n"/>
      <c r="T69" s="5" t="n"/>
      <c r="U69" s="5" t="n"/>
      <c r="V69" s="5" t="n"/>
      <c r="W69" s="5" t="n"/>
      <c r="X69" s="5" t="n"/>
      <c r="Y69" s="5" t="n"/>
      <c r="Z69" s="5" t="n"/>
      <c r="AA69" s="5" t="n"/>
      <c r="AB69" s="5" t="n"/>
      <c r="AC69" s="5" t="n"/>
      <c r="AD69" s="5" t="n"/>
      <c r="AE69" s="7">
        <f>SUM(O69:V69)</f>
        <v/>
      </c>
      <c r="AF69" s="7">
        <f>SUM(W69:AC69)</f>
        <v/>
      </c>
      <c r="AG69" s="7">
        <f>SUM(O69:AD69)</f>
        <v/>
      </c>
      <c r="AH69" s="5">
        <f>IF(AG69="","",IF(AG69&lt;=26,"Very Poor",IF(AG69&lt;=38,"Poor",IF(AG69&lt;=50,"Fair",IF(AG69&lt;=62,"Good","Excellent")))))</f>
        <v/>
      </c>
      <c r="AI69" s="5" t="n"/>
      <c r="AJ69" s="5" t="n"/>
      <c r="AK69" s="5" t="n"/>
      <c r="AL69" s="5" t="n"/>
      <c r="AM69" s="7">
        <f>COUNTIF(AI69:AL69,"Y")</f>
        <v/>
      </c>
      <c r="AN69" s="5" t="n"/>
    </row>
    <row r="70">
      <c r="A70" s="5" t="inlineStr">
        <is>
          <t>YT-19</t>
        </is>
      </c>
      <c r="B70" s="5" t="inlineStr">
        <is>
          <t>YouTube</t>
        </is>
      </c>
      <c r="C70" s="5" t="inlineStr">
        <is>
          <t>best exercises to lose weight</t>
        </is>
      </c>
      <c r="D70" s="5" t="inlineStr">
        <is>
          <t>https://www.youtube.com/watch?v=uKXF3eS79_A</t>
        </is>
      </c>
      <c r="E70" s="5" t="inlineStr">
        <is>
          <t>How to ACTUALLY Lose Fat with Exercise</t>
        </is>
      </c>
      <c r="F70" s="5" t="inlineStr">
        <is>
          <t>RESPIRE</t>
        </is>
      </c>
      <c r="G70" s="5" t="n"/>
      <c r="H70" s="6" t="inlineStr">
        <is>
          <t>2024-08-31</t>
        </is>
      </c>
      <c r="I70" s="7" t="n">
        <v>384882</v>
      </c>
      <c r="J70" s="7" t="n">
        <v>8500</v>
      </c>
      <c r="K70" s="7" t="n"/>
      <c r="L70" s="7" t="n">
        <v>245</v>
      </c>
      <c r="M70" s="5" t="n"/>
      <c r="N70" s="5" t="inlineStr">
        <is>
          <t>Long video (&gt;5min)</t>
        </is>
      </c>
      <c r="O70" s="5" t="n"/>
      <c r="P70" s="5" t="n"/>
      <c r="Q70" s="5" t="n"/>
      <c r="R70" s="5" t="n"/>
      <c r="S70" s="5" t="n"/>
      <c r="T70" s="5" t="n"/>
      <c r="U70" s="5" t="n"/>
      <c r="V70" s="5" t="n"/>
      <c r="W70" s="5" t="n"/>
      <c r="X70" s="5" t="n"/>
      <c r="Y70" s="5" t="n"/>
      <c r="Z70" s="5" t="n"/>
      <c r="AA70" s="5" t="n"/>
      <c r="AB70" s="5" t="n"/>
      <c r="AC70" s="5" t="n"/>
      <c r="AD70" s="5" t="n"/>
      <c r="AE70" s="7">
        <f>SUM(O70:V70)</f>
        <v/>
      </c>
      <c r="AF70" s="7">
        <f>SUM(W70:AC70)</f>
        <v/>
      </c>
      <c r="AG70" s="7">
        <f>SUM(O70:AD70)</f>
        <v/>
      </c>
      <c r="AH70" s="5">
        <f>IF(AG70="","",IF(AG70&lt;=26,"Very Poor",IF(AG70&lt;=38,"Poor",IF(AG70&lt;=50,"Fair",IF(AG70&lt;=62,"Good","Excellent")))))</f>
        <v/>
      </c>
      <c r="AI70" s="5" t="n"/>
      <c r="AJ70" s="5" t="n"/>
      <c r="AK70" s="5" t="n"/>
      <c r="AL70" s="5" t="n"/>
      <c r="AM70" s="7">
        <f>COUNTIF(AI70:AL70,"Y")</f>
        <v/>
      </c>
      <c r="AN70" s="5" t="n"/>
    </row>
    <row r="71">
      <c r="A71" s="5" t="inlineStr">
        <is>
          <t>YT-20</t>
        </is>
      </c>
      <c r="B71" s="5" t="inlineStr">
        <is>
          <t>YouTube</t>
        </is>
      </c>
      <c r="C71" s="5" t="inlineStr">
        <is>
          <t>best exercises to lose weight</t>
        </is>
      </c>
      <c r="D71" s="5" t="inlineStr">
        <is>
          <t>https://www.youtube.com/watch?v=gC_L9qAHVJ8</t>
        </is>
      </c>
      <c r="E71" s="5" t="inlineStr">
        <is>
          <t>"30 minute fat burning home workout for beginners. Achievable</t>
        </is>
      </c>
      <c r="F71" s="5" t="inlineStr">
        <is>
          <t>low impact results."</t>
        </is>
      </c>
      <c r="G71" s="5" t="n"/>
      <c r="H71" s="6" t="inlineStr">
        <is>
          <t>Body Project</t>
        </is>
      </c>
      <c r="I71" s="7" t="n"/>
      <c r="J71" s="7" t="n">
        <v>58054142</v>
      </c>
      <c r="K71" s="7" t="n"/>
      <c r="L71" s="7" t="n">
        <v>678000</v>
      </c>
      <c r="M71" s="5" t="n"/>
      <c r="N71" s="5" t="inlineStr">
        <is>
          <t>28508</t>
        </is>
      </c>
      <c r="O71" s="5" t="n"/>
      <c r="P71" s="5" t="n"/>
      <c r="Q71" s="5" t="n"/>
      <c r="R71" s="5" t="n"/>
      <c r="S71" s="5" t="n"/>
      <c r="T71" s="5" t="n"/>
      <c r="U71" s="5" t="n"/>
      <c r="V71" s="5" t="n"/>
      <c r="W71" s="5" t="n"/>
      <c r="X71" s="5" t="n"/>
      <c r="Y71" s="5" t="n"/>
      <c r="Z71" s="5" t="n"/>
      <c r="AA71" s="5" t="n"/>
      <c r="AB71" s="5" t="n"/>
      <c r="AC71" s="5" t="n"/>
      <c r="AD71" s="5" t="n"/>
      <c r="AE71" s="7">
        <f>SUM(O71:V71)</f>
        <v/>
      </c>
      <c r="AF71" s="7">
        <f>SUM(W71:AC71)</f>
        <v/>
      </c>
      <c r="AG71" s="7">
        <f>SUM(O71:AD71)</f>
        <v/>
      </c>
      <c r="AH71" s="5">
        <f>IF(AG71="","",IF(AG71&lt;=26,"Very Poor",IF(AG71&lt;=38,"Poor",IF(AG71&lt;=50,"Fair",IF(AG71&lt;=62,"Good","Excellent")))))</f>
        <v/>
      </c>
      <c r="AI71" s="5" t="n"/>
      <c r="AJ71" s="5" t="n"/>
      <c r="AK71" s="5" t="n"/>
      <c r="AL71" s="5" t="n"/>
      <c r="AM71" s="7">
        <f>COUNTIF(AI71:AL71,"Y")</f>
        <v/>
      </c>
      <c r="AN71" s="5" t="n"/>
    </row>
    <row r="72">
      <c r="A72" s="5" t="inlineStr">
        <is>
          <t>YT-21</t>
        </is>
      </c>
      <c r="B72" s="5" t="inlineStr">
        <is>
          <t>YouTube</t>
        </is>
      </c>
      <c r="C72" s="5" t="inlineStr">
        <is>
          <t>strength training for beginners</t>
        </is>
      </c>
      <c r="D72" s="5" t="inlineStr">
        <is>
          <t>https://www.youtube.com/watch?v=V09O2rwArjI</t>
        </is>
      </c>
      <c r="E72" s="5" t="inlineStr">
        <is>
          <t>STRENGTH TRAINING workout at home for Beginners (no equipment)</t>
        </is>
      </c>
      <c r="F72" s="5" t="inlineStr">
        <is>
          <t>Rebecca-Louise</t>
        </is>
      </c>
      <c r="G72" s="5" t="n"/>
      <c r="H72" s="6" t="inlineStr">
        <is>
          <t>2024-01-15</t>
        </is>
      </c>
      <c r="I72" s="7" t="n">
        <v>99280</v>
      </c>
      <c r="J72" s="7" t="n">
        <v>2400</v>
      </c>
      <c r="K72" s="7" t="n"/>
      <c r="L72" s="7" t="n">
        <v>64</v>
      </c>
      <c r="M72" s="5" t="n"/>
      <c r="N72" s="5" t="inlineStr">
        <is>
          <t>Long video (&gt;5min)</t>
        </is>
      </c>
      <c r="O72" s="5" t="n"/>
      <c r="P72" s="5" t="n"/>
      <c r="Q72" s="5" t="n"/>
      <c r="R72" s="5" t="n"/>
      <c r="S72" s="5" t="n"/>
      <c r="T72" s="5" t="n"/>
      <c r="U72" s="5" t="n"/>
      <c r="V72" s="5" t="n"/>
      <c r="W72" s="5" t="n"/>
      <c r="X72" s="5" t="n"/>
      <c r="Y72" s="5" t="n"/>
      <c r="Z72" s="5" t="n"/>
      <c r="AA72" s="5" t="n"/>
      <c r="AB72" s="5" t="n"/>
      <c r="AC72" s="5" t="n"/>
      <c r="AD72" s="5" t="n"/>
      <c r="AE72" s="7">
        <f>SUM(O72:V72)</f>
        <v/>
      </c>
      <c r="AF72" s="7">
        <f>SUM(W72:AC72)</f>
        <v/>
      </c>
      <c r="AG72" s="7">
        <f>SUM(O72:AD72)</f>
        <v/>
      </c>
      <c r="AH72" s="5">
        <f>IF(AG72="","",IF(AG72&lt;=26,"Very Poor",IF(AG72&lt;=38,"Poor",IF(AG72&lt;=50,"Fair",IF(AG72&lt;=62,"Good","Excellent")))))</f>
        <v/>
      </c>
      <c r="AI72" s="5" t="n"/>
      <c r="AJ72" s="5" t="n"/>
      <c r="AK72" s="5" t="n"/>
      <c r="AL72" s="5" t="n"/>
      <c r="AM72" s="7">
        <f>COUNTIF(AI72:AL72,"Y")</f>
        <v/>
      </c>
      <c r="AN72" s="5" t="n"/>
    </row>
    <row r="73">
      <c r="A73" s="5" t="inlineStr">
        <is>
          <t>YT-22</t>
        </is>
      </c>
      <c r="B73" s="5" t="inlineStr">
        <is>
          <t>YouTube</t>
        </is>
      </c>
      <c r="C73" s="5" t="inlineStr">
        <is>
          <t>strength training for beginners</t>
        </is>
      </c>
      <c r="D73" s="5" t="inlineStr">
        <is>
          <t>https://www.youtube.com/watch?v=dcKwz_C8pkg</t>
        </is>
      </c>
      <c r="E73" s="5" t="inlineStr">
        <is>
          <t>15 Min BEGINNER Full Bodyweight Strength Workout</t>
        </is>
      </c>
      <c r="F73" s="5" t="inlineStr">
        <is>
          <t>Sunny Health &amp; Fitness</t>
        </is>
      </c>
      <c r="G73" s="5" t="n"/>
      <c r="H73" s="6" t="inlineStr">
        <is>
          <t>2024-10-04</t>
        </is>
      </c>
      <c r="I73" s="7" t="n">
        <v>118651</v>
      </c>
      <c r="J73" s="7" t="n">
        <v>2700</v>
      </c>
      <c r="K73" s="7" t="n"/>
      <c r="L73" s="7" t="n">
        <v>6</v>
      </c>
      <c r="M73" s="5" t="n"/>
      <c r="N73" s="5" t="inlineStr">
        <is>
          <t>Long video (&gt;5min)</t>
        </is>
      </c>
      <c r="O73" s="5" t="n"/>
      <c r="P73" s="5" t="n"/>
      <c r="Q73" s="5" t="n"/>
      <c r="R73" s="5" t="n"/>
      <c r="S73" s="5" t="n"/>
      <c r="T73" s="5" t="n"/>
      <c r="U73" s="5" t="n"/>
      <c r="V73" s="5" t="n"/>
      <c r="W73" s="5" t="n"/>
      <c r="X73" s="5" t="n"/>
      <c r="Y73" s="5" t="n"/>
      <c r="Z73" s="5" t="n"/>
      <c r="AA73" s="5" t="n"/>
      <c r="AB73" s="5" t="n"/>
      <c r="AC73" s="5" t="n"/>
      <c r="AD73" s="5" t="n"/>
      <c r="AE73" s="7">
        <f>SUM(O73:V73)</f>
        <v/>
      </c>
      <c r="AF73" s="7">
        <f>SUM(W73:AC73)</f>
        <v/>
      </c>
      <c r="AG73" s="7">
        <f>SUM(O73:AD73)</f>
        <v/>
      </c>
      <c r="AH73" s="5">
        <f>IF(AG73="","",IF(AG73&lt;=26,"Very Poor",IF(AG73&lt;=38,"Poor",IF(AG73&lt;=50,"Fair",IF(AG73&lt;=62,"Good","Excellent")))))</f>
        <v/>
      </c>
      <c r="AI73" s="5" t="n"/>
      <c r="AJ73" s="5" t="n"/>
      <c r="AK73" s="5" t="n"/>
      <c r="AL73" s="5" t="n"/>
      <c r="AM73" s="7">
        <f>COUNTIF(AI73:AL73,"Y")</f>
        <v/>
      </c>
      <c r="AN73" s="5" t="n"/>
    </row>
    <row r="74">
      <c r="A74" s="5" t="inlineStr">
        <is>
          <t>YT-23</t>
        </is>
      </c>
      <c r="B74" s="5" t="inlineStr">
        <is>
          <t>YouTube</t>
        </is>
      </c>
      <c r="C74" s="5" t="inlineStr">
        <is>
          <t>strength training for beginners</t>
        </is>
      </c>
      <c r="D74" s="5" t="inlineStr">
        <is>
          <t>https://www.youtube.com/watch?v=Vz53oNHSIBk</t>
        </is>
      </c>
      <c r="E74" s="5" t="inlineStr">
        <is>
          <t>Beginner Light Dumbbell Workout</t>
        </is>
      </c>
      <c r="F74" s="5" t="inlineStr">
        <is>
          <t>Justin Agustin</t>
        </is>
      </c>
      <c r="G74" s="5" t="n"/>
      <c r="H74" s="6" t="inlineStr">
        <is>
          <t>2023-03-16</t>
        </is>
      </c>
      <c r="I74" s="7" t="n">
        <v>1069367</v>
      </c>
      <c r="J74" s="7" t="n">
        <v>39000</v>
      </c>
      <c r="K74" s="7" t="n"/>
      <c r="L74" s="7" t="n">
        <v>106</v>
      </c>
      <c r="M74" s="5" t="n"/>
      <c r="N74" s="5" t="inlineStr">
        <is>
          <t>Long video (&gt;5min)</t>
        </is>
      </c>
      <c r="O74" s="5" t="n"/>
      <c r="P74" s="5" t="n"/>
      <c r="Q74" s="5" t="n"/>
      <c r="R74" s="5" t="n"/>
      <c r="S74" s="5" t="n"/>
      <c r="T74" s="5" t="n"/>
      <c r="U74" s="5" t="n"/>
      <c r="V74" s="5" t="n"/>
      <c r="W74" s="5" t="n"/>
      <c r="X74" s="5" t="n"/>
      <c r="Y74" s="5" t="n"/>
      <c r="Z74" s="5" t="n"/>
      <c r="AA74" s="5" t="n"/>
      <c r="AB74" s="5" t="n"/>
      <c r="AC74" s="5" t="n"/>
      <c r="AD74" s="5" t="n"/>
      <c r="AE74" s="7">
        <f>SUM(O74:V74)</f>
        <v/>
      </c>
      <c r="AF74" s="7">
        <f>SUM(W74:AC74)</f>
        <v/>
      </c>
      <c r="AG74" s="7">
        <f>SUM(O74:AD74)</f>
        <v/>
      </c>
      <c r="AH74" s="5">
        <f>IF(AG74="","",IF(AG74&lt;=26,"Very Poor",IF(AG74&lt;=38,"Poor",IF(AG74&lt;=50,"Fair",IF(AG74&lt;=62,"Good","Excellent")))))</f>
        <v/>
      </c>
      <c r="AI74" s="5" t="n"/>
      <c r="AJ74" s="5" t="n"/>
      <c r="AK74" s="5" t="n"/>
      <c r="AL74" s="5" t="n"/>
      <c r="AM74" s="7">
        <f>COUNTIF(AI74:AL74,"Y")</f>
        <v/>
      </c>
      <c r="AN74" s="5" t="n"/>
    </row>
    <row r="75">
      <c r="A75" s="5" t="inlineStr">
        <is>
          <t>YT-24</t>
        </is>
      </c>
      <c r="B75" s="5" t="inlineStr">
        <is>
          <t>YouTube</t>
        </is>
      </c>
      <c r="C75" s="5" t="inlineStr">
        <is>
          <t>strength training for beginners</t>
        </is>
      </c>
      <c r="D75" s="5" t="inlineStr">
        <is>
          <t>https://www.youtube.com/watch?v=_6WERjVqBwE</t>
        </is>
      </c>
      <c r="E75" s="5" t="inlineStr">
        <is>
          <t>THIS type of AT HOME beginner workouts changed my life</t>
        </is>
      </c>
      <c r="F75" s="5" t="inlineStr">
        <is>
          <t>growwithjo</t>
        </is>
      </c>
      <c r="G75" s="5" t="n"/>
      <c r="H75" s="6" t="inlineStr">
        <is>
          <t>2024-02-19</t>
        </is>
      </c>
      <c r="I75" s="7" t="n">
        <v>5846159</v>
      </c>
      <c r="J75" s="7" t="n">
        <v>198000</v>
      </c>
      <c r="K75" s="7" t="n"/>
      <c r="L75" s="7" t="n">
        <v>632</v>
      </c>
      <c r="M75" s="5" t="n"/>
      <c r="N75" s="5" t="inlineStr">
        <is>
          <t>Long video (&gt;5min)</t>
        </is>
      </c>
      <c r="O75" s="5" t="n"/>
      <c r="P75" s="5" t="n"/>
      <c r="Q75" s="5" t="n"/>
      <c r="R75" s="5" t="n"/>
      <c r="S75" s="5" t="n"/>
      <c r="T75" s="5" t="n"/>
      <c r="U75" s="5" t="n"/>
      <c r="V75" s="5" t="n"/>
      <c r="W75" s="5" t="n"/>
      <c r="X75" s="5" t="n"/>
      <c r="Y75" s="5" t="n"/>
      <c r="Z75" s="5" t="n"/>
      <c r="AA75" s="5" t="n"/>
      <c r="AB75" s="5" t="n"/>
      <c r="AC75" s="5" t="n"/>
      <c r="AD75" s="5" t="n"/>
      <c r="AE75" s="7">
        <f>SUM(O75:V75)</f>
        <v/>
      </c>
      <c r="AF75" s="7">
        <f>SUM(W75:AC75)</f>
        <v/>
      </c>
      <c r="AG75" s="7">
        <f>SUM(O75:AD75)</f>
        <v/>
      </c>
      <c r="AH75" s="5">
        <f>IF(AG75="","",IF(AG75&lt;=26,"Very Poor",IF(AG75&lt;=38,"Poor",IF(AG75&lt;=50,"Fair",IF(AG75&lt;=62,"Good","Excellent")))))</f>
        <v/>
      </c>
      <c r="AI75" s="5" t="n"/>
      <c r="AJ75" s="5" t="n"/>
      <c r="AK75" s="5" t="n"/>
      <c r="AL75" s="5" t="n"/>
      <c r="AM75" s="7">
        <f>COUNTIF(AI75:AL75,"Y")</f>
        <v/>
      </c>
      <c r="AN75" s="5" t="n"/>
    </row>
    <row r="76">
      <c r="A76" s="5" t="inlineStr">
        <is>
          <t>YT-25</t>
        </is>
      </c>
      <c r="B76" s="5" t="inlineStr">
        <is>
          <t>YouTube</t>
        </is>
      </c>
      <c r="C76" s="5" t="inlineStr">
        <is>
          <t>strength training for beginners</t>
        </is>
      </c>
      <c r="D76" s="5" t="inlineStr">
        <is>
          <t>https://www.youtube.com/watch?v=11VqZqlcPBM</t>
        </is>
      </c>
      <c r="E76" s="5" t="inlineStr">
        <is>
          <t>10 Minute Full body Strength Workout for Beginners &amp; Seniors // Osteoporosis Friendly</t>
        </is>
      </c>
      <c r="F76" s="5" t="inlineStr">
        <is>
          <t>SeniorShape Fitness</t>
        </is>
      </c>
      <c r="G76" s="5" t="n"/>
      <c r="H76" s="6" t="inlineStr">
        <is>
          <t>2025-03-21</t>
        </is>
      </c>
      <c r="I76" s="7" t="n">
        <v>199193</v>
      </c>
      <c r="J76" s="7" t="n">
        <v>4500</v>
      </c>
      <c r="K76" s="7" t="n"/>
      <c r="L76" s="7" t="n">
        <v>232</v>
      </c>
      <c r="M76" s="5" t="n"/>
      <c r="N76" s="5" t="inlineStr">
        <is>
          <t>Long video (&gt;5min)</t>
        </is>
      </c>
      <c r="O76" s="5" t="n"/>
      <c r="P76" s="5" t="n"/>
      <c r="Q76" s="5" t="n"/>
      <c r="R76" s="5" t="n"/>
      <c r="S76" s="5" t="n"/>
      <c r="T76" s="5" t="n"/>
      <c r="U76" s="5" t="n"/>
      <c r="V76" s="5" t="n"/>
      <c r="W76" s="5" t="n"/>
      <c r="X76" s="5" t="n"/>
      <c r="Y76" s="5" t="n"/>
      <c r="Z76" s="5" t="n"/>
      <c r="AA76" s="5" t="n"/>
      <c r="AB76" s="5" t="n"/>
      <c r="AC76" s="5" t="n"/>
      <c r="AD76" s="5" t="n"/>
      <c r="AE76" s="7">
        <f>SUM(O76:V76)</f>
        <v/>
      </c>
      <c r="AF76" s="7">
        <f>SUM(W76:AC76)</f>
        <v/>
      </c>
      <c r="AG76" s="7">
        <f>SUM(O76:AD76)</f>
        <v/>
      </c>
      <c r="AH76" s="5">
        <f>IF(AG76="","",IF(AG76&lt;=26,"Very Poor",IF(AG76&lt;=38,"Poor",IF(AG76&lt;=50,"Fair",IF(AG76&lt;=62,"Good","Excellent")))))</f>
        <v/>
      </c>
      <c r="AI76" s="5" t="n"/>
      <c r="AJ76" s="5" t="n"/>
      <c r="AK76" s="5" t="n"/>
      <c r="AL76" s="5" t="n"/>
      <c r="AM76" s="7">
        <f>COUNTIF(AI76:AL76,"Y")</f>
        <v/>
      </c>
      <c r="AN76" s="5" t="n"/>
    </row>
    <row r="77">
      <c r="A77" s="5" t="inlineStr">
        <is>
          <t>YT-26</t>
        </is>
      </c>
      <c r="B77" s="5" t="inlineStr">
        <is>
          <t>YouTube</t>
        </is>
      </c>
      <c r="C77" s="5" t="inlineStr">
        <is>
          <t>strength training for beginners</t>
        </is>
      </c>
      <c r="D77" s="5" t="inlineStr">
        <is>
          <t>https://www.youtube.com/watch?v=EZlF5_Je0YE</t>
        </is>
      </c>
      <c r="E77" s="5" t="inlineStr">
        <is>
          <t>Strength Training Workout for Beginners &amp; Seniors // Isometric &amp; Balance Exercises!</t>
        </is>
      </c>
      <c r="F77" s="5" t="inlineStr">
        <is>
          <t>SeniorShape Fitness</t>
        </is>
      </c>
      <c r="G77" s="5" t="n"/>
      <c r="H77" s="6" t="inlineStr">
        <is>
          <t>2024-09-16</t>
        </is>
      </c>
      <c r="I77" s="7" t="n">
        <v>430616</v>
      </c>
      <c r="J77" s="7" t="n">
        <v>9700</v>
      </c>
      <c r="K77" s="7" t="n"/>
      <c r="L77" s="7" t="n">
        <v>1874</v>
      </c>
      <c r="M77" s="5" t="n"/>
      <c r="N77" s="5" t="inlineStr">
        <is>
          <t>Long video (&gt;5min)</t>
        </is>
      </c>
      <c r="O77" s="5" t="n"/>
      <c r="P77" s="5" t="n"/>
      <c r="Q77" s="5" t="n"/>
      <c r="R77" s="5" t="n"/>
      <c r="S77" s="5" t="n"/>
      <c r="T77" s="5" t="n"/>
      <c r="U77" s="5" t="n"/>
      <c r="V77" s="5" t="n"/>
      <c r="W77" s="5" t="n"/>
      <c r="X77" s="5" t="n"/>
      <c r="Y77" s="5" t="n"/>
      <c r="Z77" s="5" t="n"/>
      <c r="AA77" s="5" t="n"/>
      <c r="AB77" s="5" t="n"/>
      <c r="AC77" s="5" t="n"/>
      <c r="AD77" s="5" t="n"/>
      <c r="AE77" s="7">
        <f>SUM(O77:V77)</f>
        <v/>
      </c>
      <c r="AF77" s="7">
        <f>SUM(W77:AC77)</f>
        <v/>
      </c>
      <c r="AG77" s="7">
        <f>SUM(O77:AD77)</f>
        <v/>
      </c>
      <c r="AH77" s="5">
        <f>IF(AG77="","",IF(AG77&lt;=26,"Very Poor",IF(AG77&lt;=38,"Poor",IF(AG77&lt;=50,"Fair",IF(AG77&lt;=62,"Good","Excellent")))))</f>
        <v/>
      </c>
      <c r="AI77" s="5" t="n"/>
      <c r="AJ77" s="5" t="n"/>
      <c r="AK77" s="5" t="n"/>
      <c r="AL77" s="5" t="n"/>
      <c r="AM77" s="7">
        <f>COUNTIF(AI77:AL77,"Y")</f>
        <v/>
      </c>
      <c r="AN77" s="5" t="n"/>
    </row>
    <row r="78">
      <c r="A78" s="5" t="inlineStr">
        <is>
          <t>YT-27</t>
        </is>
      </c>
      <c r="B78" s="5" t="inlineStr">
        <is>
          <t>YouTube</t>
        </is>
      </c>
      <c r="C78" s="5" t="inlineStr">
        <is>
          <t>strength training for beginners</t>
        </is>
      </c>
      <c r="D78" s="5" t="inlineStr">
        <is>
          <t>https://www.youtube.com/watch?v=1VvgNZsg9nc</t>
        </is>
      </c>
      <c r="E78" s="5" t="inlineStr">
        <is>
          <t>12 Min Beginner Weight Training - Strength Training for Beginners - Beginner Workout Routine</t>
        </is>
      </c>
      <c r="F78" s="5" t="inlineStr">
        <is>
          <t>HASfit</t>
        </is>
      </c>
      <c r="G78" s="5" t="n"/>
      <c r="H78" s="6" t="inlineStr">
        <is>
          <t>2016-04-25</t>
        </is>
      </c>
      <c r="I78" s="7" t="n">
        <v>220450</v>
      </c>
      <c r="J78" s="7" t="n">
        <v>3900</v>
      </c>
      <c r="K78" s="7" t="n"/>
      <c r="L78" s="7" t="n">
        <v>100</v>
      </c>
      <c r="M78" s="5" t="n"/>
      <c r="N78" s="5" t="inlineStr">
        <is>
          <t>Long video (&gt;5min)</t>
        </is>
      </c>
      <c r="O78" s="5" t="n"/>
      <c r="P78" s="5" t="n"/>
      <c r="Q78" s="5" t="n"/>
      <c r="R78" s="5" t="n"/>
      <c r="S78" s="5" t="n"/>
      <c r="T78" s="5" t="n"/>
      <c r="U78" s="5" t="n"/>
      <c r="V78" s="5" t="n"/>
      <c r="W78" s="5" t="n"/>
      <c r="X78" s="5" t="n"/>
      <c r="Y78" s="5" t="n"/>
      <c r="Z78" s="5" t="n"/>
      <c r="AA78" s="5" t="n"/>
      <c r="AB78" s="5" t="n"/>
      <c r="AC78" s="5" t="n"/>
      <c r="AD78" s="5" t="n"/>
      <c r="AE78" s="7">
        <f>SUM(O78:V78)</f>
        <v/>
      </c>
      <c r="AF78" s="7">
        <f>SUM(W78:AC78)</f>
        <v/>
      </c>
      <c r="AG78" s="7">
        <f>SUM(O78:AD78)</f>
        <v/>
      </c>
      <c r="AH78" s="5">
        <f>IF(AG78="","",IF(AG78&lt;=26,"Very Poor",IF(AG78&lt;=38,"Poor",IF(AG78&lt;=50,"Fair",IF(AG78&lt;=62,"Good","Excellent")))))</f>
        <v/>
      </c>
      <c r="AI78" s="5" t="n"/>
      <c r="AJ78" s="5" t="n"/>
      <c r="AK78" s="5" t="n"/>
      <c r="AL78" s="5" t="n"/>
      <c r="AM78" s="7">
        <f>COUNTIF(AI78:AL78,"Y")</f>
        <v/>
      </c>
      <c r="AN78" s="5" t="n"/>
    </row>
    <row r="79">
      <c r="A79" s="5" t="inlineStr">
        <is>
          <t>YT-28</t>
        </is>
      </c>
      <c r="B79" s="5" t="inlineStr">
        <is>
          <t>YouTube</t>
        </is>
      </c>
      <c r="C79" s="5" t="inlineStr">
        <is>
          <t>strength training for beginners</t>
        </is>
      </c>
      <c r="D79" s="5" t="inlineStr">
        <is>
          <t>https://www.youtube.com/watch?v=OJ1Dbv6YriQ</t>
        </is>
      </c>
      <c r="E79" s="5" t="inlineStr">
        <is>
          <t>"STRENGTH TRAINING for BEGINNERS | Build strength</t>
        </is>
      </c>
      <c r="F79" s="5" t="inlineStr">
        <is>
          <t>get toned &amp; speed up metabolism!"</t>
        </is>
      </c>
      <c r="G79" s="5" t="n"/>
      <c r="H79" s="6" t="inlineStr">
        <is>
          <t>Improved Health</t>
        </is>
      </c>
      <c r="I79" s="7" t="n"/>
      <c r="J79" s="7" t="n">
        <v>281778</v>
      </c>
      <c r="K79" s="7" t="n"/>
      <c r="L79" s="7" t="n">
        <v>5300</v>
      </c>
      <c r="M79" s="5" t="n"/>
      <c r="N79" s="5" t="inlineStr">
        <is>
          <t>309</t>
        </is>
      </c>
      <c r="O79" s="5" t="n"/>
      <c r="P79" s="5" t="n"/>
      <c r="Q79" s="5" t="n"/>
      <c r="R79" s="5" t="n"/>
      <c r="S79" s="5" t="n"/>
      <c r="T79" s="5" t="n"/>
      <c r="U79" s="5" t="n"/>
      <c r="V79" s="5" t="n"/>
      <c r="W79" s="5" t="n"/>
      <c r="X79" s="5" t="n"/>
      <c r="Y79" s="5" t="n"/>
      <c r="Z79" s="5" t="n"/>
      <c r="AA79" s="5" t="n"/>
      <c r="AB79" s="5" t="n"/>
      <c r="AC79" s="5" t="n"/>
      <c r="AD79" s="5" t="n"/>
      <c r="AE79" s="7">
        <f>SUM(O79:V79)</f>
        <v/>
      </c>
      <c r="AF79" s="7">
        <f>SUM(W79:AC79)</f>
        <v/>
      </c>
      <c r="AG79" s="7">
        <f>SUM(O79:AD79)</f>
        <v/>
      </c>
      <c r="AH79" s="5">
        <f>IF(AG79="","",IF(AG79&lt;=26,"Very Poor",IF(AG79&lt;=38,"Poor",IF(AG79&lt;=50,"Fair",IF(AG79&lt;=62,"Good","Excellent")))))</f>
        <v/>
      </c>
      <c r="AI79" s="5" t="n"/>
      <c r="AJ79" s="5" t="n"/>
      <c r="AK79" s="5" t="n"/>
      <c r="AL79" s="5" t="n"/>
      <c r="AM79" s="7">
        <f>COUNTIF(AI79:AL79,"Y")</f>
        <v/>
      </c>
      <c r="AN79" s="5" t="n"/>
    </row>
    <row r="80">
      <c r="A80" s="5" t="inlineStr">
        <is>
          <t>YT-29</t>
        </is>
      </c>
      <c r="B80" s="5" t="inlineStr">
        <is>
          <t>YouTube</t>
        </is>
      </c>
      <c r="C80" s="5" t="inlineStr">
        <is>
          <t>strength training for beginners</t>
        </is>
      </c>
      <c r="D80" s="5" t="inlineStr">
        <is>
          <t>https://www.youtube.com/watch?v=YEyFdtni3uU</t>
        </is>
      </c>
      <c r="E80" s="5" t="inlineStr">
        <is>
          <t>5 MIN ARM WORKOUT</t>
        </is>
      </c>
      <c r="F80" s="5" t="inlineStr">
        <is>
          <t>MadFit</t>
        </is>
      </c>
      <c r="G80" s="5" t="n"/>
      <c r="H80" s="6" t="inlineStr">
        <is>
          <t>2023-05-31</t>
        </is>
      </c>
      <c r="I80" s="7" t="n">
        <v>10683518</v>
      </c>
      <c r="J80" s="7" t="n"/>
      <c r="K80" s="7" t="n"/>
      <c r="L80" s="7" t="n">
        <v>706</v>
      </c>
      <c r="M80" s="5" t="n"/>
      <c r="N80" s="5" t="inlineStr">
        <is>
          <t>Long video (&gt;5min)</t>
        </is>
      </c>
      <c r="O80" s="5" t="n"/>
      <c r="P80" s="5" t="n"/>
      <c r="Q80" s="5" t="n"/>
      <c r="R80" s="5" t="n"/>
      <c r="S80" s="5" t="n"/>
      <c r="T80" s="5" t="n"/>
      <c r="U80" s="5" t="n"/>
      <c r="V80" s="5" t="n"/>
      <c r="W80" s="5" t="n"/>
      <c r="X80" s="5" t="n"/>
      <c r="Y80" s="5" t="n"/>
      <c r="Z80" s="5" t="n"/>
      <c r="AA80" s="5" t="n"/>
      <c r="AB80" s="5" t="n"/>
      <c r="AC80" s="5" t="n"/>
      <c r="AD80" s="5" t="n"/>
      <c r="AE80" s="7">
        <f>SUM(O80:V80)</f>
        <v/>
      </c>
      <c r="AF80" s="7">
        <f>SUM(W80:AC80)</f>
        <v/>
      </c>
      <c r="AG80" s="7">
        <f>SUM(O80:AD80)</f>
        <v/>
      </c>
      <c r="AH80" s="5">
        <f>IF(AG80="","",IF(AG80&lt;=26,"Very Poor",IF(AG80&lt;=38,"Poor",IF(AG80&lt;=50,"Fair",IF(AG80&lt;=62,"Good","Excellent")))))</f>
        <v/>
      </c>
      <c r="AI80" s="5" t="n"/>
      <c r="AJ80" s="5" t="n"/>
      <c r="AK80" s="5" t="n"/>
      <c r="AL80" s="5" t="n"/>
      <c r="AM80" s="7">
        <f>COUNTIF(AI80:AL80,"Y")</f>
        <v/>
      </c>
      <c r="AN80" s="5" t="n"/>
    </row>
    <row r="81">
      <c r="A81" s="5" t="inlineStr">
        <is>
          <t>YT-30</t>
        </is>
      </c>
      <c r="B81" s="5" t="inlineStr">
        <is>
          <t>YouTube</t>
        </is>
      </c>
      <c r="C81" s="5" t="inlineStr">
        <is>
          <t>strength training for beginners</t>
        </is>
      </c>
      <c r="D81" s="5" t="inlineStr">
        <is>
          <t>https://www.youtube.com/watch?v=RPi9aJGuRDM</t>
        </is>
      </c>
      <c r="E81" s="5" t="inlineStr">
        <is>
          <t>30 Min Full Body Dumbbell Workout for Beginners - Beginner Strength Training at Home with Weight</t>
        </is>
      </c>
      <c r="F81" s="5" t="inlineStr">
        <is>
          <t>HASfit</t>
        </is>
      </c>
      <c r="G81" s="5" t="n"/>
      <c r="H81" s="6" t="inlineStr">
        <is>
          <t>2023-03-06</t>
        </is>
      </c>
      <c r="I81" s="7" t="n">
        <v>912437</v>
      </c>
      <c r="J81" s="7" t="n">
        <v>14000</v>
      </c>
      <c r="K81" s="7" t="n"/>
      <c r="L81" s="7" t="n">
        <v>254</v>
      </c>
      <c r="M81" s="5" t="n"/>
      <c r="N81" s="5" t="inlineStr">
        <is>
          <t>Long video (&gt;5min)</t>
        </is>
      </c>
      <c r="O81" s="5" t="n"/>
      <c r="P81" s="5" t="n"/>
      <c r="Q81" s="5" t="n"/>
      <c r="R81" s="5" t="n"/>
      <c r="S81" s="5" t="n"/>
      <c r="T81" s="5" t="n"/>
      <c r="U81" s="5" t="n"/>
      <c r="V81" s="5" t="n"/>
      <c r="W81" s="5" t="n"/>
      <c r="X81" s="5" t="n"/>
      <c r="Y81" s="5" t="n"/>
      <c r="Z81" s="5" t="n"/>
      <c r="AA81" s="5" t="n"/>
      <c r="AB81" s="5" t="n"/>
      <c r="AC81" s="5" t="n"/>
      <c r="AD81" s="5" t="n"/>
      <c r="AE81" s="7">
        <f>SUM(O81:V81)</f>
        <v/>
      </c>
      <c r="AF81" s="7">
        <f>SUM(W81:AC81)</f>
        <v/>
      </c>
      <c r="AG81" s="7">
        <f>SUM(O81:AD81)</f>
        <v/>
      </c>
      <c r="AH81" s="5">
        <f>IF(AG81="","",IF(AG81&lt;=26,"Very Poor",IF(AG81&lt;=38,"Poor",IF(AG81&lt;=50,"Fair",IF(AG81&lt;=62,"Good","Excellent")))))</f>
        <v/>
      </c>
      <c r="AI81" s="5" t="n"/>
      <c r="AJ81" s="5" t="n"/>
      <c r="AK81" s="5" t="n"/>
      <c r="AL81" s="5" t="n"/>
      <c r="AM81" s="7">
        <f>COUNTIF(AI81:AL81,"Y")</f>
        <v/>
      </c>
      <c r="AN81" s="5" t="n"/>
    </row>
    <row r="82">
      <c r="A82" s="5" t="inlineStr">
        <is>
          <t>YT-31</t>
        </is>
      </c>
      <c r="B82" s="5" t="inlineStr">
        <is>
          <t>YouTube</t>
        </is>
      </c>
      <c r="C82" s="5" t="inlineStr">
        <is>
          <t>physical activity guidelines</t>
        </is>
      </c>
      <c r="D82" s="5" t="inlineStr">
        <is>
          <t>https://www.youtube.com/watch?v=60hVUlEy5Sc</t>
        </is>
      </c>
      <c r="E82" s="5" t="inlineStr">
        <is>
          <t>New Physical Activity Guidelines for Americans: Getting Granular</t>
        </is>
      </c>
      <c r="F82" s="5" t="inlineStr">
        <is>
          <t>GW Integrative Medicine</t>
        </is>
      </c>
      <c r="G82" s="5" t="n"/>
      <c r="H82" s="6" t="inlineStr">
        <is>
          <t>2025-09-15</t>
        </is>
      </c>
      <c r="I82" s="7" t="n">
        <v>19</v>
      </c>
      <c r="J82" s="7" t="n"/>
      <c r="K82" s="7" t="n"/>
      <c r="L82" s="7" t="n"/>
      <c r="M82" s="5" t="n"/>
      <c r="N82" s="5" t="inlineStr">
        <is>
          <t>Long video (&gt;5min)</t>
        </is>
      </c>
      <c r="O82" s="5" t="n"/>
      <c r="P82" s="5" t="n"/>
      <c r="Q82" s="5" t="n"/>
      <c r="R82" s="5" t="n"/>
      <c r="S82" s="5" t="n"/>
      <c r="T82" s="5" t="n"/>
      <c r="U82" s="5" t="n"/>
      <c r="V82" s="5" t="n"/>
      <c r="W82" s="5" t="n"/>
      <c r="X82" s="5" t="n"/>
      <c r="Y82" s="5" t="n"/>
      <c r="Z82" s="5" t="n"/>
      <c r="AA82" s="5" t="n"/>
      <c r="AB82" s="5" t="n"/>
      <c r="AC82" s="5" t="n"/>
      <c r="AD82" s="5" t="n"/>
      <c r="AE82" s="7">
        <f>SUM(O82:V82)</f>
        <v/>
      </c>
      <c r="AF82" s="7">
        <f>SUM(W82:AC82)</f>
        <v/>
      </c>
      <c r="AG82" s="7">
        <f>SUM(O82:AD82)</f>
        <v/>
      </c>
      <c r="AH82" s="5">
        <f>IF(AG82="","",IF(AG82&lt;=26,"Very Poor",IF(AG82&lt;=38,"Poor",IF(AG82&lt;=50,"Fair",IF(AG82&lt;=62,"Good","Excellent")))))</f>
        <v/>
      </c>
      <c r="AI82" s="5" t="n"/>
      <c r="AJ82" s="5" t="n"/>
      <c r="AK82" s="5" t="n"/>
      <c r="AL82" s="5" t="n"/>
      <c r="AM82" s="7">
        <f>COUNTIF(AI82:AL82,"Y")</f>
        <v/>
      </c>
      <c r="AN82" s="5" t="n"/>
    </row>
    <row r="83">
      <c r="A83" s="5" t="inlineStr">
        <is>
          <t>YT-32</t>
        </is>
      </c>
      <c r="B83" s="5" t="inlineStr">
        <is>
          <t>YouTube</t>
        </is>
      </c>
      <c r="C83" s="5" t="inlineStr">
        <is>
          <t>physical activity guidelines</t>
        </is>
      </c>
      <c r="D83" s="5" t="inlineStr">
        <is>
          <t>https://www.youtube.com/watch?v=ng4yg5lY6oQ</t>
        </is>
      </c>
      <c r="E83" s="5" t="inlineStr">
        <is>
          <t>Mayo Clinic Minute: New fitness guidelines for the new year</t>
        </is>
      </c>
      <c r="F83" s="5" t="inlineStr">
        <is>
          <t>Mayo Clinic</t>
        </is>
      </c>
      <c r="G83" s="5" t="n"/>
      <c r="H83" s="6" t="inlineStr">
        <is>
          <t>2018-12-24</t>
        </is>
      </c>
      <c r="I83" s="7" t="n">
        <v>4152</v>
      </c>
      <c r="J83" s="7" t="n">
        <v>48</v>
      </c>
      <c r="K83" s="7" t="n"/>
      <c r="L83" s="7" t="n"/>
      <c r="M83" s="5" t="n"/>
      <c r="N83" s="5" t="inlineStr">
        <is>
          <t>Long video (&gt;5min)</t>
        </is>
      </c>
      <c r="O83" s="5" t="n"/>
      <c r="P83" s="5" t="n"/>
      <c r="Q83" s="5" t="n"/>
      <c r="R83" s="5" t="n"/>
      <c r="S83" s="5" t="n"/>
      <c r="T83" s="5" t="n"/>
      <c r="U83" s="5" t="n"/>
      <c r="V83" s="5" t="n"/>
      <c r="W83" s="5" t="n"/>
      <c r="X83" s="5" t="n"/>
      <c r="Y83" s="5" t="n"/>
      <c r="Z83" s="5" t="n"/>
      <c r="AA83" s="5" t="n"/>
      <c r="AB83" s="5" t="n"/>
      <c r="AC83" s="5" t="n"/>
      <c r="AD83" s="5" t="n"/>
      <c r="AE83" s="7">
        <f>SUM(O83:V83)</f>
        <v/>
      </c>
      <c r="AF83" s="7">
        <f>SUM(W83:AC83)</f>
        <v/>
      </c>
      <c r="AG83" s="7">
        <f>SUM(O83:AD83)</f>
        <v/>
      </c>
      <c r="AH83" s="5">
        <f>IF(AG83="","",IF(AG83&lt;=26,"Very Poor",IF(AG83&lt;=38,"Poor",IF(AG83&lt;=50,"Fair",IF(AG83&lt;=62,"Good","Excellent")))))</f>
        <v/>
      </c>
      <c r="AI83" s="5" t="n"/>
      <c r="AJ83" s="5" t="n"/>
      <c r="AK83" s="5" t="n"/>
      <c r="AL83" s="5" t="n"/>
      <c r="AM83" s="7">
        <f>COUNTIF(AI83:AL83,"Y")</f>
        <v/>
      </c>
      <c r="AN83" s="5" t="n"/>
    </row>
    <row r="84">
      <c r="A84" s="5" t="inlineStr">
        <is>
          <t>YT-33</t>
        </is>
      </c>
      <c r="B84" s="5" t="inlineStr">
        <is>
          <t>YouTube</t>
        </is>
      </c>
      <c r="C84" s="5" t="inlineStr">
        <is>
          <t>physical activity guidelines</t>
        </is>
      </c>
      <c r="D84" s="5" t="inlineStr">
        <is>
          <t>https://www.youtube.com/watch?v=Nt3Qh_oJ3YY</t>
        </is>
      </c>
      <c r="E84" s="5" t="inlineStr">
        <is>
          <t>Guidelines for Physical Activity</t>
        </is>
      </c>
      <c r="F84" s="5" t="inlineStr">
        <is>
          <t>Arthritis UK</t>
        </is>
      </c>
      <c r="G84" s="5" t="n"/>
      <c r="H84" s="6" t="inlineStr">
        <is>
          <t>2020-11-24</t>
        </is>
      </c>
      <c r="I84" s="7" t="n">
        <v>20560</v>
      </c>
      <c r="J84" s="7" t="n">
        <v>104</v>
      </c>
      <c r="K84" s="7" t="n"/>
      <c r="L84" s="7" t="n"/>
      <c r="M84" s="5" t="n"/>
      <c r="N84" s="5" t="inlineStr">
        <is>
          <t>Long video (&gt;5min)</t>
        </is>
      </c>
      <c r="O84" s="5" t="n"/>
      <c r="P84" s="5" t="n"/>
      <c r="Q84" s="5" t="n"/>
      <c r="R84" s="5" t="n"/>
      <c r="S84" s="5" t="n"/>
      <c r="T84" s="5" t="n"/>
      <c r="U84" s="5" t="n"/>
      <c r="V84" s="5" t="n"/>
      <c r="W84" s="5" t="n"/>
      <c r="X84" s="5" t="n"/>
      <c r="Y84" s="5" t="n"/>
      <c r="Z84" s="5" t="n"/>
      <c r="AA84" s="5" t="n"/>
      <c r="AB84" s="5" t="n"/>
      <c r="AC84" s="5" t="n"/>
      <c r="AD84" s="5" t="n"/>
      <c r="AE84" s="7">
        <f>SUM(O84:V84)</f>
        <v/>
      </c>
      <c r="AF84" s="7">
        <f>SUM(W84:AC84)</f>
        <v/>
      </c>
      <c r="AG84" s="7">
        <f>SUM(O84:AD84)</f>
        <v/>
      </c>
      <c r="AH84" s="5">
        <f>IF(AG84="","",IF(AG84&lt;=26,"Very Poor",IF(AG84&lt;=38,"Poor",IF(AG84&lt;=50,"Fair",IF(AG84&lt;=62,"Good","Excellent")))))</f>
        <v/>
      </c>
      <c r="AI84" s="5" t="n"/>
      <c r="AJ84" s="5" t="n"/>
      <c r="AK84" s="5" t="n"/>
      <c r="AL84" s="5" t="n"/>
      <c r="AM84" s="7">
        <f>COUNTIF(AI84:AL84,"Y")</f>
        <v/>
      </c>
      <c r="AN84" s="5" t="n"/>
    </row>
    <row r="85">
      <c r="A85" s="5" t="inlineStr">
        <is>
          <t>YT-34</t>
        </is>
      </c>
      <c r="B85" s="5" t="inlineStr">
        <is>
          <t>YouTube</t>
        </is>
      </c>
      <c r="C85" s="5" t="inlineStr">
        <is>
          <t>physical activity guidelines</t>
        </is>
      </c>
      <c r="D85" s="5" t="inlineStr">
        <is>
          <t>https://www.youtube.com/watch?v=ErzXq7Uu0mY</t>
        </is>
      </c>
      <c r="E85" s="5" t="inlineStr">
        <is>
          <t>The 2018 Physical Activity Guidelines for Americans   What’s New</t>
        </is>
      </c>
      <c r="F85" s="5" t="inlineStr">
        <is>
          <t>CEPA Continuing Education</t>
        </is>
      </c>
      <c r="G85" s="5" t="n"/>
      <c r="H85" s="6" t="inlineStr">
        <is>
          <t>2020-04-22</t>
        </is>
      </c>
      <c r="I85" s="7" t="n">
        <v>514</v>
      </c>
      <c r="J85" s="7" t="n">
        <v>1</v>
      </c>
      <c r="K85" s="7" t="n"/>
      <c r="L85" s="7" t="n"/>
      <c r="M85" s="5" t="n"/>
      <c r="N85" s="5" t="inlineStr">
        <is>
          <t>Long video (&gt;5min)</t>
        </is>
      </c>
      <c r="O85" s="5" t="n"/>
      <c r="P85" s="5" t="n"/>
      <c r="Q85" s="5" t="n"/>
      <c r="R85" s="5" t="n"/>
      <c r="S85" s="5" t="n"/>
      <c r="T85" s="5" t="n"/>
      <c r="U85" s="5" t="n"/>
      <c r="V85" s="5" t="n"/>
      <c r="W85" s="5" t="n"/>
      <c r="X85" s="5" t="n"/>
      <c r="Y85" s="5" t="n"/>
      <c r="Z85" s="5" t="n"/>
      <c r="AA85" s="5" t="n"/>
      <c r="AB85" s="5" t="n"/>
      <c r="AC85" s="5" t="n"/>
      <c r="AD85" s="5" t="n"/>
      <c r="AE85" s="7">
        <f>SUM(O85:V85)</f>
        <v/>
      </c>
      <c r="AF85" s="7">
        <f>SUM(W85:AC85)</f>
        <v/>
      </c>
      <c r="AG85" s="7">
        <f>SUM(O85:AD85)</f>
        <v/>
      </c>
      <c r="AH85" s="5">
        <f>IF(AG85="","",IF(AG85&lt;=26,"Very Poor",IF(AG85&lt;=38,"Poor",IF(AG85&lt;=50,"Fair",IF(AG85&lt;=62,"Good","Excellent")))))</f>
        <v/>
      </c>
      <c r="AI85" s="5" t="n"/>
      <c r="AJ85" s="5" t="n"/>
      <c r="AK85" s="5" t="n"/>
      <c r="AL85" s="5" t="n"/>
      <c r="AM85" s="7">
        <f>COUNTIF(AI85:AL85,"Y")</f>
        <v/>
      </c>
      <c r="AN85" s="5" t="n"/>
    </row>
    <row r="86">
      <c r="A86" s="5" t="inlineStr">
        <is>
          <t>YT-35</t>
        </is>
      </c>
      <c r="B86" s="5" t="inlineStr">
        <is>
          <t>YouTube</t>
        </is>
      </c>
      <c r="C86" s="5" t="inlineStr">
        <is>
          <t>physical activity guidelines</t>
        </is>
      </c>
      <c r="D86" s="5" t="inlineStr">
        <is>
          <t>https://www.youtube.com/watch?v=abPVL_TQtso</t>
        </is>
      </c>
      <c r="E86" s="5" t="inlineStr">
        <is>
          <t>Physical Activity Guidelines</t>
        </is>
      </c>
      <c r="F86" s="5" t="inlineStr">
        <is>
          <t>Good Shepherd Health Care System</t>
        </is>
      </c>
      <c r="G86" s="5" t="n"/>
      <c r="H86" s="6" t="inlineStr">
        <is>
          <t>2020-07-13</t>
        </is>
      </c>
      <c r="I86" s="7" t="n">
        <v>455</v>
      </c>
      <c r="J86" s="7" t="n"/>
      <c r="K86" s="7" t="n"/>
      <c r="L86" s="7" t="n"/>
      <c r="M86" s="5" t="n"/>
      <c r="N86" s="5" t="inlineStr">
        <is>
          <t>Long video (&gt;5min)</t>
        </is>
      </c>
      <c r="O86" s="5" t="n"/>
      <c r="P86" s="5" t="n"/>
      <c r="Q86" s="5" t="n"/>
      <c r="R86" s="5" t="n"/>
      <c r="S86" s="5" t="n"/>
      <c r="T86" s="5" t="n"/>
      <c r="U86" s="5" t="n"/>
      <c r="V86" s="5" t="n"/>
      <c r="W86" s="5" t="n"/>
      <c r="X86" s="5" t="n"/>
      <c r="Y86" s="5" t="n"/>
      <c r="Z86" s="5" t="n"/>
      <c r="AA86" s="5" t="n"/>
      <c r="AB86" s="5" t="n"/>
      <c r="AC86" s="5" t="n"/>
      <c r="AD86" s="5" t="n"/>
      <c r="AE86" s="7">
        <f>SUM(O86:V86)</f>
        <v/>
      </c>
      <c r="AF86" s="7">
        <f>SUM(W86:AC86)</f>
        <v/>
      </c>
      <c r="AG86" s="7">
        <f>SUM(O86:AD86)</f>
        <v/>
      </c>
      <c r="AH86" s="5">
        <f>IF(AG86="","",IF(AG86&lt;=26,"Very Poor",IF(AG86&lt;=38,"Poor",IF(AG86&lt;=50,"Fair",IF(AG86&lt;=62,"Good","Excellent")))))</f>
        <v/>
      </c>
      <c r="AI86" s="5" t="n"/>
      <c r="AJ86" s="5" t="n"/>
      <c r="AK86" s="5" t="n"/>
      <c r="AL86" s="5" t="n"/>
      <c r="AM86" s="7">
        <f>COUNTIF(AI86:AL86,"Y")</f>
        <v/>
      </c>
      <c r="AN86" s="5" t="n"/>
    </row>
    <row r="87">
      <c r="A87" s="5" t="inlineStr">
        <is>
          <t>YT-36</t>
        </is>
      </c>
      <c r="B87" s="5" t="inlineStr">
        <is>
          <t>YouTube</t>
        </is>
      </c>
      <c r="C87" s="5" t="inlineStr">
        <is>
          <t>physical activity guidelines</t>
        </is>
      </c>
      <c r="D87" s="5" t="inlineStr">
        <is>
          <t>https://www.youtube.com/watch?v=tFu949_By64</t>
        </is>
      </c>
      <c r="E87" s="5" t="inlineStr">
        <is>
          <t>Physical Activity Guidelines</t>
        </is>
      </c>
      <c r="F87" s="5" t="inlineStr">
        <is>
          <t>Southern Nevada Health District</t>
        </is>
      </c>
      <c r="G87" s="5" t="n"/>
      <c r="H87" s="6" t="inlineStr">
        <is>
          <t>2013-01-24</t>
        </is>
      </c>
      <c r="I87" s="7" t="n">
        <v>376</v>
      </c>
      <c r="J87" s="7" t="n"/>
      <c r="K87" s="7" t="n"/>
      <c r="L87" s="7" t="n"/>
      <c r="M87" s="5" t="n"/>
      <c r="N87" s="5" t="inlineStr">
        <is>
          <t>Long video (&gt;5min)</t>
        </is>
      </c>
      <c r="O87" s="5" t="n"/>
      <c r="P87" s="5" t="n"/>
      <c r="Q87" s="5" t="n"/>
      <c r="R87" s="5" t="n"/>
      <c r="S87" s="5" t="n"/>
      <c r="T87" s="5" t="n"/>
      <c r="U87" s="5" t="n"/>
      <c r="V87" s="5" t="n"/>
      <c r="W87" s="5" t="n"/>
      <c r="X87" s="5" t="n"/>
      <c r="Y87" s="5" t="n"/>
      <c r="Z87" s="5" t="n"/>
      <c r="AA87" s="5" t="n"/>
      <c r="AB87" s="5" t="n"/>
      <c r="AC87" s="5" t="n"/>
      <c r="AD87" s="5" t="n"/>
      <c r="AE87" s="7">
        <f>SUM(O87:V87)</f>
        <v/>
      </c>
      <c r="AF87" s="7">
        <f>SUM(W87:AC87)</f>
        <v/>
      </c>
      <c r="AG87" s="7">
        <f>SUM(O87:AD87)</f>
        <v/>
      </c>
      <c r="AH87" s="5">
        <f>IF(AG87="","",IF(AG87&lt;=26,"Very Poor",IF(AG87&lt;=38,"Poor",IF(AG87&lt;=50,"Fair",IF(AG87&lt;=62,"Good","Excellent")))))</f>
        <v/>
      </c>
      <c r="AI87" s="5" t="n"/>
      <c r="AJ87" s="5" t="n"/>
      <c r="AK87" s="5" t="n"/>
      <c r="AL87" s="5" t="n"/>
      <c r="AM87" s="7">
        <f>COUNTIF(AI87:AL87,"Y")</f>
        <v/>
      </c>
      <c r="AN87" s="5" t="n"/>
    </row>
    <row r="88">
      <c r="A88" s="5" t="inlineStr">
        <is>
          <t>YT-37</t>
        </is>
      </c>
      <c r="B88" s="5" t="inlineStr">
        <is>
          <t>YouTube</t>
        </is>
      </c>
      <c r="C88" s="5" t="inlineStr">
        <is>
          <t>physical activity guidelines</t>
        </is>
      </c>
      <c r="D88" s="5" t="inlineStr">
        <is>
          <t>https://www.youtube.com/watch?v=KAYtlMkKP1g</t>
        </is>
      </c>
      <c r="E88" s="5" t="inlineStr">
        <is>
          <t>Government Issues New Exercise Guidelines</t>
        </is>
      </c>
      <c r="F88" s="5" t="inlineStr">
        <is>
          <t>CBS Boston</t>
        </is>
      </c>
      <c r="G88" s="5" t="n"/>
      <c r="H88" s="6" t="inlineStr">
        <is>
          <t>2018-11-13</t>
        </is>
      </c>
      <c r="I88" s="7" t="n">
        <v>206</v>
      </c>
      <c r="J88" s="7" t="n">
        <v>3</v>
      </c>
      <c r="K88" s="7" t="n"/>
      <c r="L88" s="7" t="n"/>
      <c r="M88" s="5" t="n"/>
      <c r="N88" s="5" t="inlineStr">
        <is>
          <t>Long video (&gt;5min)</t>
        </is>
      </c>
      <c r="O88" s="5" t="n"/>
      <c r="P88" s="5" t="n"/>
      <c r="Q88" s="5" t="n"/>
      <c r="R88" s="5" t="n"/>
      <c r="S88" s="5" t="n"/>
      <c r="T88" s="5" t="n"/>
      <c r="U88" s="5" t="n"/>
      <c r="V88" s="5" t="n"/>
      <c r="W88" s="5" t="n"/>
      <c r="X88" s="5" t="n"/>
      <c r="Y88" s="5" t="n"/>
      <c r="Z88" s="5" t="n"/>
      <c r="AA88" s="5" t="n"/>
      <c r="AB88" s="5" t="n"/>
      <c r="AC88" s="5" t="n"/>
      <c r="AD88" s="5" t="n"/>
      <c r="AE88" s="7">
        <f>SUM(O88:V88)</f>
        <v/>
      </c>
      <c r="AF88" s="7">
        <f>SUM(W88:AC88)</f>
        <v/>
      </c>
      <c r="AG88" s="7">
        <f>SUM(O88:AD88)</f>
        <v/>
      </c>
      <c r="AH88" s="5">
        <f>IF(AG88="","",IF(AG88&lt;=26,"Very Poor",IF(AG88&lt;=38,"Poor",IF(AG88&lt;=50,"Fair",IF(AG88&lt;=62,"Good","Excellent")))))</f>
        <v/>
      </c>
      <c r="AI88" s="5" t="n"/>
      <c r="AJ88" s="5" t="n"/>
      <c r="AK88" s="5" t="n"/>
      <c r="AL88" s="5" t="n"/>
      <c r="AM88" s="7">
        <f>COUNTIF(AI88:AL88,"Y")</f>
        <v/>
      </c>
      <c r="AN88" s="5" t="n"/>
    </row>
    <row r="89">
      <c r="A89" s="5" t="inlineStr">
        <is>
          <t>YT-38</t>
        </is>
      </c>
      <c r="B89" s="5" t="inlineStr">
        <is>
          <t>YouTube</t>
        </is>
      </c>
      <c r="C89" s="5" t="inlineStr">
        <is>
          <t>physical activity guidelines</t>
        </is>
      </c>
      <c r="D89" s="5" t="inlineStr">
        <is>
          <t>https://www.youtube.com/watch?v=TG2kHvDs96w</t>
        </is>
      </c>
      <c r="E89" s="5" t="inlineStr">
        <is>
          <t>"New Guidelines for Physical Activity (Steve Ball</t>
        </is>
      </c>
      <c r="F89" s="5" t="inlineStr">
        <is>
          <t>PhD)"</t>
        </is>
      </c>
      <c r="G89" s="5" t="n"/>
      <c r="H89" s="6" t="inlineStr">
        <is>
          <t>MU Health</t>
        </is>
      </c>
      <c r="I89" s="7" t="n"/>
      <c r="J89" s="7" t="n">
        <v>1277</v>
      </c>
      <c r="K89" s="7" t="n"/>
      <c r="L89" s="7" t="n">
        <v>5</v>
      </c>
      <c r="M89" s="5" t="n"/>
      <c r="N89" s="5" t="n"/>
      <c r="O89" s="5" t="n"/>
      <c r="P89" s="5" t="n"/>
      <c r="Q89" s="5" t="n"/>
      <c r="R89" s="5" t="n"/>
      <c r="S89" s="5" t="n"/>
      <c r="T89" s="5" t="n"/>
      <c r="U89" s="5" t="n"/>
      <c r="V89" s="5" t="n"/>
      <c r="W89" s="5" t="n"/>
      <c r="X89" s="5" t="n"/>
      <c r="Y89" s="5" t="n"/>
      <c r="Z89" s="5" t="n"/>
      <c r="AA89" s="5" t="n"/>
      <c r="AB89" s="5" t="n"/>
      <c r="AC89" s="5" t="n"/>
      <c r="AD89" s="5" t="n"/>
      <c r="AE89" s="7">
        <f>SUM(O89:V89)</f>
        <v/>
      </c>
      <c r="AF89" s="7">
        <f>SUM(W89:AC89)</f>
        <v/>
      </c>
      <c r="AG89" s="7">
        <f>SUM(O89:AD89)</f>
        <v/>
      </c>
      <c r="AH89" s="5">
        <f>IF(AG89="","",IF(AG89&lt;=26,"Very Poor",IF(AG89&lt;=38,"Poor",IF(AG89&lt;=50,"Fair",IF(AG89&lt;=62,"Good","Excellent")))))</f>
        <v/>
      </c>
      <c r="AI89" s="5" t="n"/>
      <c r="AJ89" s="5" t="n"/>
      <c r="AK89" s="5" t="n"/>
      <c r="AL89" s="5" t="n"/>
      <c r="AM89" s="7">
        <f>COUNTIF(AI89:AL89,"Y")</f>
        <v/>
      </c>
      <c r="AN89" s="5" t="n"/>
    </row>
    <row r="90">
      <c r="A90" s="5" t="inlineStr">
        <is>
          <t>YT-39</t>
        </is>
      </c>
      <c r="B90" s="5" t="inlineStr">
        <is>
          <t>YouTube</t>
        </is>
      </c>
      <c r="C90" s="5" t="inlineStr">
        <is>
          <t>physical activity guidelines</t>
        </is>
      </c>
      <c r="D90" s="5" t="inlineStr">
        <is>
          <t>https://www.youtube.com/watch?v=_DmBSZC15eo</t>
        </is>
      </c>
      <c r="E90" s="5" t="inlineStr">
        <is>
          <t>Physical activity guidelines that work</t>
        </is>
      </c>
      <c r="F90" s="5" t="inlineStr">
        <is>
          <t>KING 5 Seattle</t>
        </is>
      </c>
      <c r="G90" s="5" t="n"/>
      <c r="H90" s="6" t="inlineStr">
        <is>
          <t>2019-02-02</t>
        </is>
      </c>
      <c r="I90" s="7" t="n">
        <v>94</v>
      </c>
      <c r="J90" s="7" t="n">
        <v>1</v>
      </c>
      <c r="K90" s="7" t="n"/>
      <c r="L90" s="7" t="n"/>
      <c r="M90" s="5" t="n"/>
      <c r="N90" s="5" t="inlineStr">
        <is>
          <t>Long video (&gt;5min)</t>
        </is>
      </c>
      <c r="O90" s="5" t="n"/>
      <c r="P90" s="5" t="n"/>
      <c r="Q90" s="5" t="n"/>
      <c r="R90" s="5" t="n"/>
      <c r="S90" s="5" t="n"/>
      <c r="T90" s="5" t="n"/>
      <c r="U90" s="5" t="n"/>
      <c r="V90" s="5" t="n"/>
      <c r="W90" s="5" t="n"/>
      <c r="X90" s="5" t="n"/>
      <c r="Y90" s="5" t="n"/>
      <c r="Z90" s="5" t="n"/>
      <c r="AA90" s="5" t="n"/>
      <c r="AB90" s="5" t="n"/>
      <c r="AC90" s="5" t="n"/>
      <c r="AD90" s="5" t="n"/>
      <c r="AE90" s="7">
        <f>SUM(O90:V90)</f>
        <v/>
      </c>
      <c r="AF90" s="7">
        <f>SUM(W90:AC90)</f>
        <v/>
      </c>
      <c r="AG90" s="7">
        <f>SUM(O90:AD90)</f>
        <v/>
      </c>
      <c r="AH90" s="5">
        <f>IF(AG90="","",IF(AG90&lt;=26,"Very Poor",IF(AG90&lt;=38,"Poor",IF(AG90&lt;=50,"Fair",IF(AG90&lt;=62,"Good","Excellent")))))</f>
        <v/>
      </c>
      <c r="AI90" s="5" t="n"/>
      <c r="AJ90" s="5" t="n"/>
      <c r="AK90" s="5" t="n"/>
      <c r="AL90" s="5" t="n"/>
      <c r="AM90" s="7">
        <f>COUNTIF(AI90:AL90,"Y")</f>
        <v/>
      </c>
      <c r="AN90" s="5" t="n"/>
    </row>
    <row r="91">
      <c r="A91" s="5" t="inlineStr">
        <is>
          <t>YT-40</t>
        </is>
      </c>
      <c r="B91" s="5" t="inlineStr">
        <is>
          <t>YouTube</t>
        </is>
      </c>
      <c r="C91" s="5" t="inlineStr">
        <is>
          <t>physical activity guidelines</t>
        </is>
      </c>
      <c r="D91" s="5" t="inlineStr">
        <is>
          <t>https://www.youtube.com/watch?v=LKafqM5kve4</t>
        </is>
      </c>
      <c r="E91" s="5" t="inlineStr">
        <is>
          <t>Physical activity - guidelines</t>
        </is>
      </c>
      <c r="F91" s="5" t="inlineStr">
        <is>
          <t>County Durham &amp; Darlington NHS Foundation Trust</t>
        </is>
      </c>
      <c r="G91" s="5" t="n"/>
      <c r="H91" s="6" t="inlineStr">
        <is>
          <t>2022-01-21</t>
        </is>
      </c>
      <c r="I91" s="7" t="n">
        <v>554</v>
      </c>
      <c r="J91" s="7" t="n"/>
      <c r="K91" s="7" t="n"/>
      <c r="L91" s="7" t="n">
        <v>1</v>
      </c>
      <c r="M91" s="5" t="n"/>
      <c r="N91" s="5" t="inlineStr">
        <is>
          <t>Long video (&gt;5min)</t>
        </is>
      </c>
      <c r="O91" s="5" t="n"/>
      <c r="P91" s="5" t="n"/>
      <c r="Q91" s="5" t="n"/>
      <c r="R91" s="5" t="n"/>
      <c r="S91" s="5" t="n"/>
      <c r="T91" s="5" t="n"/>
      <c r="U91" s="5" t="n"/>
      <c r="V91" s="5" t="n"/>
      <c r="W91" s="5" t="n"/>
      <c r="X91" s="5" t="n"/>
      <c r="Y91" s="5" t="n"/>
      <c r="Z91" s="5" t="n"/>
      <c r="AA91" s="5" t="n"/>
      <c r="AB91" s="5" t="n"/>
      <c r="AC91" s="5" t="n"/>
      <c r="AD91" s="5" t="n"/>
      <c r="AE91" s="7">
        <f>SUM(O91:V91)</f>
        <v/>
      </c>
      <c r="AF91" s="7">
        <f>SUM(W91:AC91)</f>
        <v/>
      </c>
      <c r="AG91" s="7">
        <f>SUM(O91:AD91)</f>
        <v/>
      </c>
      <c r="AH91" s="5">
        <f>IF(AG91="","",IF(AG91&lt;=26,"Very Poor",IF(AG91&lt;=38,"Poor",IF(AG91&lt;=50,"Fair",IF(AG91&lt;=62,"Good","Excellent")))))</f>
        <v/>
      </c>
      <c r="AI91" s="5" t="n"/>
      <c r="AJ91" s="5" t="n"/>
      <c r="AK91" s="5" t="n"/>
      <c r="AL91" s="5" t="n"/>
      <c r="AM91" s="7">
        <f>COUNTIF(AI91:AL91,"Y")</f>
        <v/>
      </c>
      <c r="AN91" s="5" t="n"/>
    </row>
    <row r="92">
      <c r="A92" s="5" t="inlineStr">
        <is>
          <t>YT-41</t>
        </is>
      </c>
      <c r="B92" s="5" t="inlineStr">
        <is>
          <t>YouTube</t>
        </is>
      </c>
      <c r="C92" s="5" t="inlineStr">
        <is>
          <t>home workout routine</t>
        </is>
      </c>
      <c r="D92" s="5" t="inlineStr">
        <is>
          <t>https://www.youtube.com/watch?v=7GkMHPe_OXw</t>
        </is>
      </c>
      <c r="E92" s="5" t="inlineStr">
        <is>
          <t>20 Min FULL BODY Workout For BEGINNERS (No Equipment)</t>
        </is>
      </c>
      <c r="F92" s="5" t="inlineStr">
        <is>
          <t>Tone and Tighten</t>
        </is>
      </c>
      <c r="G92" s="5" t="n"/>
      <c r="H92" s="6" t="inlineStr">
        <is>
          <t>2022-01-06</t>
        </is>
      </c>
      <c r="I92" s="7" t="n">
        <v>1076151</v>
      </c>
      <c r="J92" s="7" t="n">
        <v>20000</v>
      </c>
      <c r="K92" s="7" t="n"/>
      <c r="L92" s="7" t="n">
        <v>838</v>
      </c>
      <c r="M92" s="5" t="n"/>
      <c r="N92" s="5" t="inlineStr">
        <is>
          <t>Long video (&gt;5min)</t>
        </is>
      </c>
      <c r="O92" s="5" t="n"/>
      <c r="P92" s="5" t="n"/>
      <c r="Q92" s="5" t="n"/>
      <c r="R92" s="5" t="n"/>
      <c r="S92" s="5" t="n"/>
      <c r="T92" s="5" t="n"/>
      <c r="U92" s="5" t="n"/>
      <c r="V92" s="5" t="n"/>
      <c r="W92" s="5" t="n"/>
      <c r="X92" s="5" t="n"/>
      <c r="Y92" s="5" t="n"/>
      <c r="Z92" s="5" t="n"/>
      <c r="AA92" s="5" t="n"/>
      <c r="AB92" s="5" t="n"/>
      <c r="AC92" s="5" t="n"/>
      <c r="AD92" s="5" t="n"/>
      <c r="AE92" s="7">
        <f>SUM(O92:V92)</f>
        <v/>
      </c>
      <c r="AF92" s="7">
        <f>SUM(W92:AC92)</f>
        <v/>
      </c>
      <c r="AG92" s="7">
        <f>SUM(O92:AD92)</f>
        <v/>
      </c>
      <c r="AH92" s="5">
        <f>IF(AG92="","",IF(AG92&lt;=26,"Very Poor",IF(AG92&lt;=38,"Poor",IF(AG92&lt;=50,"Fair",IF(AG92&lt;=62,"Good","Excellent")))))</f>
        <v/>
      </c>
      <c r="AI92" s="5" t="n"/>
      <c r="AJ92" s="5" t="n"/>
      <c r="AK92" s="5" t="n"/>
      <c r="AL92" s="5" t="n"/>
      <c r="AM92" s="7">
        <f>COUNTIF(AI92:AL92,"Y")</f>
        <v/>
      </c>
      <c r="AN92" s="5" t="n"/>
    </row>
    <row r="93">
      <c r="A93" s="5" t="inlineStr">
        <is>
          <t>YT-42</t>
        </is>
      </c>
      <c r="B93" s="5" t="inlineStr">
        <is>
          <t>YouTube</t>
        </is>
      </c>
      <c r="C93" s="5" t="inlineStr">
        <is>
          <t>home workout routine</t>
        </is>
      </c>
      <c r="D93" s="5" t="inlineStr">
        <is>
          <t>https://www.youtube.com/watch?v=cbKkB3POqaY</t>
        </is>
      </c>
      <c r="E93" s="5" t="inlineStr">
        <is>
          <t>25 MIN FULL BODY HIIT for Beginners - No Equipment - No Repeat Home Workout</t>
        </is>
      </c>
      <c r="F93" s="5" t="inlineStr">
        <is>
          <t>growingannanas</t>
        </is>
      </c>
      <c r="G93" s="5" t="n"/>
      <c r="H93" s="6" t="inlineStr">
        <is>
          <t>2023-03-13</t>
        </is>
      </c>
      <c r="I93" s="7" t="n">
        <v>27495694</v>
      </c>
      <c r="J93" s="7" t="n">
        <v>429000</v>
      </c>
      <c r="K93" s="7" t="n"/>
      <c r="L93" s="7" t="n">
        <v>11549</v>
      </c>
      <c r="M93" s="5" t="n"/>
      <c r="N93" s="5" t="inlineStr">
        <is>
          <t>Long video (&gt;5min)</t>
        </is>
      </c>
      <c r="O93" s="5" t="n"/>
      <c r="P93" s="5" t="n"/>
      <c r="Q93" s="5" t="n"/>
      <c r="R93" s="5" t="n"/>
      <c r="S93" s="5" t="n"/>
      <c r="T93" s="5" t="n"/>
      <c r="U93" s="5" t="n"/>
      <c r="V93" s="5" t="n"/>
      <c r="W93" s="5" t="n"/>
      <c r="X93" s="5" t="n"/>
      <c r="Y93" s="5" t="n"/>
      <c r="Z93" s="5" t="n"/>
      <c r="AA93" s="5" t="n"/>
      <c r="AB93" s="5" t="n"/>
      <c r="AC93" s="5" t="n"/>
      <c r="AD93" s="5" t="n"/>
      <c r="AE93" s="7">
        <f>SUM(O93:V93)</f>
        <v/>
      </c>
      <c r="AF93" s="7">
        <f>SUM(W93:AC93)</f>
        <v/>
      </c>
      <c r="AG93" s="7">
        <f>SUM(O93:AD93)</f>
        <v/>
      </c>
      <c r="AH93" s="5">
        <f>IF(AG93="","",IF(AG93&lt;=26,"Very Poor",IF(AG93&lt;=38,"Poor",IF(AG93&lt;=50,"Fair",IF(AG93&lt;=62,"Good","Excellent")))))</f>
        <v/>
      </c>
      <c r="AI93" s="5" t="n"/>
      <c r="AJ93" s="5" t="n"/>
      <c r="AK93" s="5" t="n"/>
      <c r="AL93" s="5" t="n"/>
      <c r="AM93" s="7">
        <f>COUNTIF(AI93:AL93,"Y")</f>
        <v/>
      </c>
      <c r="AN93" s="5" t="n"/>
    </row>
    <row r="94">
      <c r="A94" s="5" t="inlineStr">
        <is>
          <t>YT-43</t>
        </is>
      </c>
      <c r="B94" s="5" t="inlineStr">
        <is>
          <t>YouTube</t>
        </is>
      </c>
      <c r="C94" s="5" t="inlineStr">
        <is>
          <t>home workout routine</t>
        </is>
      </c>
      <c r="D94" s="5" t="inlineStr">
        <is>
          <t>https://www.youtube.com/watch?v=wIynl3at0Rs</t>
        </is>
      </c>
      <c r="E94" s="5" t="inlineStr">
        <is>
          <t>20 MINUTE FULL BODY WORKOUT (NO EQUIPMENT)</t>
        </is>
      </c>
      <c r="F94" s="5" t="inlineStr">
        <is>
          <t>Milestone Strength</t>
        </is>
      </c>
      <c r="G94" s="5" t="n"/>
      <c r="H94" s="6" t="inlineStr">
        <is>
          <t>2020-11-04</t>
        </is>
      </c>
      <c r="I94" s="7" t="n">
        <v>6192928</v>
      </c>
      <c r="J94" s="7" t="n">
        <v>93000</v>
      </c>
      <c r="K94" s="7" t="n"/>
      <c r="L94" s="7" t="n">
        <v>1761</v>
      </c>
      <c r="M94" s="5" t="n"/>
      <c r="N94" s="5" t="inlineStr">
        <is>
          <t>Long video (&gt;5min)</t>
        </is>
      </c>
      <c r="O94" s="5" t="n"/>
      <c r="P94" s="5" t="n"/>
      <c r="Q94" s="5" t="n"/>
      <c r="R94" s="5" t="n"/>
      <c r="S94" s="5" t="n"/>
      <c r="T94" s="5" t="n"/>
      <c r="U94" s="5" t="n"/>
      <c r="V94" s="5" t="n"/>
      <c r="W94" s="5" t="n"/>
      <c r="X94" s="5" t="n"/>
      <c r="Y94" s="5" t="n"/>
      <c r="Z94" s="5" t="n"/>
      <c r="AA94" s="5" t="n"/>
      <c r="AB94" s="5" t="n"/>
      <c r="AC94" s="5" t="n"/>
      <c r="AD94" s="5" t="n"/>
      <c r="AE94" s="7">
        <f>SUM(O94:V94)</f>
        <v/>
      </c>
      <c r="AF94" s="7">
        <f>SUM(W94:AC94)</f>
        <v/>
      </c>
      <c r="AG94" s="7">
        <f>SUM(O94:AD94)</f>
        <v/>
      </c>
      <c r="AH94" s="5">
        <f>IF(AG94="","",IF(AG94&lt;=26,"Very Poor",IF(AG94&lt;=38,"Poor",IF(AG94&lt;=50,"Fair",IF(AG94&lt;=62,"Good","Excellent")))))</f>
        <v/>
      </c>
      <c r="AI94" s="5" t="n"/>
      <c r="AJ94" s="5" t="n"/>
      <c r="AK94" s="5" t="n"/>
      <c r="AL94" s="5" t="n"/>
      <c r="AM94" s="7">
        <f>COUNTIF(AI94:AL94,"Y")</f>
        <v/>
      </c>
      <c r="AN94" s="5" t="n"/>
    </row>
    <row r="95">
      <c r="A95" s="5" t="inlineStr">
        <is>
          <t>YT-44</t>
        </is>
      </c>
      <c r="B95" s="5" t="inlineStr">
        <is>
          <t>YouTube</t>
        </is>
      </c>
      <c r="C95" s="5" t="inlineStr">
        <is>
          <t>home workout routine</t>
        </is>
      </c>
      <c r="D95" s="5" t="inlineStr">
        <is>
          <t>https://www.youtube.com/watch?v=3EKcdVsYdk4</t>
        </is>
      </c>
      <c r="E95" s="5" t="inlineStr">
        <is>
          <t>25 MIN FULL BODY WORKOUT AT HOME (Fat Burn &amp; No Equipment) 전신 맨몸 운동 홈트 25분 (체중감량 &amp; 장비없음)</t>
        </is>
      </c>
      <c r="F95" s="5" t="inlineStr">
        <is>
          <t>Jae-ho - Trainer &amp; Physical Therapist</t>
        </is>
      </c>
      <c r="G95" s="5" t="n"/>
      <c r="H95" s="6" t="inlineStr">
        <is>
          <t>2025-10-20</t>
        </is>
      </c>
      <c r="I95" s="7" t="n">
        <v>866343</v>
      </c>
      <c r="J95" s="7" t="n">
        <v>13000</v>
      </c>
      <c r="K95" s="7" t="n"/>
      <c r="L95" s="7" t="n">
        <v>330</v>
      </c>
      <c r="M95" s="5" t="n"/>
      <c r="N95" s="5" t="inlineStr">
        <is>
          <t>Long video (&gt;5min)</t>
        </is>
      </c>
      <c r="O95" s="5" t="n"/>
      <c r="P95" s="5" t="n"/>
      <c r="Q95" s="5" t="n"/>
      <c r="R95" s="5" t="n"/>
      <c r="S95" s="5" t="n"/>
      <c r="T95" s="5" t="n"/>
      <c r="U95" s="5" t="n"/>
      <c r="V95" s="5" t="n"/>
      <c r="W95" s="5" t="n"/>
      <c r="X95" s="5" t="n"/>
      <c r="Y95" s="5" t="n"/>
      <c r="Z95" s="5" t="n"/>
      <c r="AA95" s="5" t="n"/>
      <c r="AB95" s="5" t="n"/>
      <c r="AC95" s="5" t="n"/>
      <c r="AD95" s="5" t="n"/>
      <c r="AE95" s="7">
        <f>SUM(O95:V95)</f>
        <v/>
      </c>
      <c r="AF95" s="7">
        <f>SUM(W95:AC95)</f>
        <v/>
      </c>
      <c r="AG95" s="7">
        <f>SUM(O95:AD95)</f>
        <v/>
      </c>
      <c r="AH95" s="5">
        <f>IF(AG95="","",IF(AG95&lt;=26,"Very Poor",IF(AG95&lt;=38,"Poor",IF(AG95&lt;=50,"Fair",IF(AG95&lt;=62,"Good","Excellent")))))</f>
        <v/>
      </c>
      <c r="AI95" s="5" t="n"/>
      <c r="AJ95" s="5" t="n"/>
      <c r="AK95" s="5" t="n"/>
      <c r="AL95" s="5" t="n"/>
      <c r="AM95" s="7">
        <f>COUNTIF(AI95:AL95,"Y")</f>
        <v/>
      </c>
      <c r="AN95" s="5" t="n"/>
    </row>
    <row r="96">
      <c r="A96" s="5" t="inlineStr">
        <is>
          <t>YT-45</t>
        </is>
      </c>
      <c r="B96" s="5" t="inlineStr">
        <is>
          <t>YouTube</t>
        </is>
      </c>
      <c r="C96" s="5" t="inlineStr">
        <is>
          <t>home workout routine</t>
        </is>
      </c>
      <c r="D96" s="5" t="inlineStr">
        <is>
          <t>https://www.youtube.com/watch?v=gElD1Nqxwh8</t>
        </is>
      </c>
      <c r="E96" s="5" t="inlineStr">
        <is>
          <t>How To Set Up A Home Workout Schedule for Men</t>
        </is>
      </c>
      <c r="F96" s="5" t="inlineStr">
        <is>
          <t>Fit Father Project - Fitness For Busy Fathers</t>
        </is>
      </c>
      <c r="G96" s="5" t="n"/>
      <c r="H96" s="6" t="inlineStr">
        <is>
          <t>2020-05-29</t>
        </is>
      </c>
      <c r="I96" s="7" t="n">
        <v>71827</v>
      </c>
      <c r="J96" s="7" t="n">
        <v>1700</v>
      </c>
      <c r="K96" s="7" t="n"/>
      <c r="L96" s="7" t="n">
        <v>85</v>
      </c>
      <c r="M96" s="5" t="n"/>
      <c r="N96" s="5" t="inlineStr">
        <is>
          <t>Long video (&gt;5min)</t>
        </is>
      </c>
      <c r="O96" s="5" t="n"/>
      <c r="P96" s="5" t="n"/>
      <c r="Q96" s="5" t="n"/>
      <c r="R96" s="5" t="n"/>
      <c r="S96" s="5" t="n"/>
      <c r="T96" s="5" t="n"/>
      <c r="U96" s="5" t="n"/>
      <c r="V96" s="5" t="n"/>
      <c r="W96" s="5" t="n"/>
      <c r="X96" s="5" t="n"/>
      <c r="Y96" s="5" t="n"/>
      <c r="Z96" s="5" t="n"/>
      <c r="AA96" s="5" t="n"/>
      <c r="AB96" s="5" t="n"/>
      <c r="AC96" s="5" t="n"/>
      <c r="AD96" s="5" t="n"/>
      <c r="AE96" s="7">
        <f>SUM(O96:V96)</f>
        <v/>
      </c>
      <c r="AF96" s="7">
        <f>SUM(W96:AC96)</f>
        <v/>
      </c>
      <c r="AG96" s="7">
        <f>SUM(O96:AD96)</f>
        <v/>
      </c>
      <c r="AH96" s="5">
        <f>IF(AG96="","",IF(AG96&lt;=26,"Very Poor",IF(AG96&lt;=38,"Poor",IF(AG96&lt;=50,"Fair",IF(AG96&lt;=62,"Good","Excellent")))))</f>
        <v/>
      </c>
      <c r="AI96" s="5" t="n"/>
      <c r="AJ96" s="5" t="n"/>
      <c r="AK96" s="5" t="n"/>
      <c r="AL96" s="5" t="n"/>
      <c r="AM96" s="7">
        <f>COUNTIF(AI96:AL96,"Y")</f>
        <v/>
      </c>
      <c r="AN96" s="5" t="n"/>
    </row>
    <row r="97">
      <c r="A97" s="5" t="inlineStr">
        <is>
          <t>YT-46</t>
        </is>
      </c>
      <c r="B97" s="5" t="inlineStr">
        <is>
          <t>YouTube</t>
        </is>
      </c>
      <c r="C97" s="5" t="inlineStr">
        <is>
          <t>home workout routine</t>
        </is>
      </c>
      <c r="D97" s="5" t="inlineStr">
        <is>
          <t>https://www.youtube.com/watch?v=KeNObkhENKQ</t>
        </is>
      </c>
      <c r="E97" s="5" t="inlineStr">
        <is>
          <t>TOP 10 Exercises to Get Fit At Home!</t>
        </is>
      </c>
      <c r="F97" s="5" t="inlineStr">
        <is>
          <t>Calisthenicmovement</t>
        </is>
      </c>
      <c r="G97" s="5" t="n"/>
      <c r="H97" s="6" t="inlineStr">
        <is>
          <t>2023-01-27</t>
        </is>
      </c>
      <c r="I97" s="7" t="n">
        <v>1635806</v>
      </c>
      <c r="J97" s="7" t="n">
        <v>43000</v>
      </c>
      <c r="K97" s="7" t="n"/>
      <c r="L97" s="7" t="n">
        <v>475</v>
      </c>
      <c r="M97" s="5" t="n"/>
      <c r="N97" s="5" t="inlineStr">
        <is>
          <t>Long video (&gt;5min)</t>
        </is>
      </c>
      <c r="O97" s="5" t="n"/>
      <c r="P97" s="5" t="n"/>
      <c r="Q97" s="5" t="n"/>
      <c r="R97" s="5" t="n"/>
      <c r="S97" s="5" t="n"/>
      <c r="T97" s="5" t="n"/>
      <c r="U97" s="5" t="n"/>
      <c r="V97" s="5" t="n"/>
      <c r="W97" s="5" t="n"/>
      <c r="X97" s="5" t="n"/>
      <c r="Y97" s="5" t="n"/>
      <c r="Z97" s="5" t="n"/>
      <c r="AA97" s="5" t="n"/>
      <c r="AB97" s="5" t="n"/>
      <c r="AC97" s="5" t="n"/>
      <c r="AD97" s="5" t="n"/>
      <c r="AE97" s="7">
        <f>SUM(O97:V97)</f>
        <v/>
      </c>
      <c r="AF97" s="7">
        <f>SUM(W97:AC97)</f>
        <v/>
      </c>
      <c r="AG97" s="7">
        <f>SUM(O97:AD97)</f>
        <v/>
      </c>
      <c r="AH97" s="5">
        <f>IF(AG97="","",IF(AG97&lt;=26,"Very Poor",IF(AG97&lt;=38,"Poor",IF(AG97&lt;=50,"Fair",IF(AG97&lt;=62,"Good","Excellent")))))</f>
        <v/>
      </c>
      <c r="AI97" s="5" t="n"/>
      <c r="AJ97" s="5" t="n"/>
      <c r="AK97" s="5" t="n"/>
      <c r="AL97" s="5" t="n"/>
      <c r="AM97" s="7">
        <f>COUNTIF(AI97:AL97,"Y")</f>
        <v/>
      </c>
      <c r="AN97" s="5" t="n"/>
    </row>
    <row r="98">
      <c r="A98" s="5" t="inlineStr">
        <is>
          <t>YT-47</t>
        </is>
      </c>
      <c r="B98" s="5" t="inlineStr">
        <is>
          <t>YouTube</t>
        </is>
      </c>
      <c r="C98" s="5" t="inlineStr">
        <is>
          <t>home workout routine</t>
        </is>
      </c>
      <c r="D98" s="5" t="inlineStr">
        <is>
          <t>https://www.youtube.com/watch?v=GViX8riaHX4</t>
        </is>
      </c>
      <c r="E98" s="5" t="inlineStr">
        <is>
          <t>30 Min FULL BODY DUMBBELL WORKOUT at Home | Muscle Building</t>
        </is>
      </c>
      <c r="F98" s="5" t="inlineStr">
        <is>
          <t>Caroline Girvan</t>
        </is>
      </c>
      <c r="G98" s="5" t="n"/>
      <c r="H98" s="6" t="inlineStr">
        <is>
          <t>2020-08-03</t>
        </is>
      </c>
      <c r="I98" s="7" t="n">
        <v>16497410</v>
      </c>
      <c r="J98" s="7" t="n">
        <v>251000</v>
      </c>
      <c r="K98" s="7" t="n"/>
      <c r="L98" s="7" t="n">
        <v>6254</v>
      </c>
      <c r="M98" s="5" t="n"/>
      <c r="N98" s="5" t="inlineStr">
        <is>
          <t>Long video (&gt;5min)</t>
        </is>
      </c>
      <c r="O98" s="5" t="n"/>
      <c r="P98" s="5" t="n"/>
      <c r="Q98" s="5" t="n"/>
      <c r="R98" s="5" t="n"/>
      <c r="S98" s="5" t="n"/>
      <c r="T98" s="5" t="n"/>
      <c r="U98" s="5" t="n"/>
      <c r="V98" s="5" t="n"/>
      <c r="W98" s="5" t="n"/>
      <c r="X98" s="5" t="n"/>
      <c r="Y98" s="5" t="n"/>
      <c r="Z98" s="5" t="n"/>
      <c r="AA98" s="5" t="n"/>
      <c r="AB98" s="5" t="n"/>
      <c r="AC98" s="5" t="n"/>
      <c r="AD98" s="5" t="n"/>
      <c r="AE98" s="7">
        <f>SUM(O98:V98)</f>
        <v/>
      </c>
      <c r="AF98" s="7">
        <f>SUM(W98:AC98)</f>
        <v/>
      </c>
      <c r="AG98" s="7">
        <f>SUM(O98:AD98)</f>
        <v/>
      </c>
      <c r="AH98" s="5">
        <f>IF(AG98="","",IF(AG98&lt;=26,"Very Poor",IF(AG98&lt;=38,"Poor",IF(AG98&lt;=50,"Fair",IF(AG98&lt;=62,"Good","Excellent")))))</f>
        <v/>
      </c>
      <c r="AI98" s="5" t="n"/>
      <c r="AJ98" s="5" t="n"/>
      <c r="AK98" s="5" t="n"/>
      <c r="AL98" s="5" t="n"/>
      <c r="AM98" s="7">
        <f>COUNTIF(AI98:AL98,"Y")</f>
        <v/>
      </c>
      <c r="AN98" s="5" t="n"/>
    </row>
    <row r="99">
      <c r="A99" s="5" t="inlineStr">
        <is>
          <t>YT-48</t>
        </is>
      </c>
      <c r="B99" s="5" t="inlineStr">
        <is>
          <t>YouTube</t>
        </is>
      </c>
      <c r="C99" s="5" t="inlineStr">
        <is>
          <t>home workout routine</t>
        </is>
      </c>
      <c r="D99" s="5" t="inlineStr">
        <is>
          <t>https://www.youtube.com/watch?v=jKTxe236-4U</t>
        </is>
      </c>
      <c r="E99" s="5" t="inlineStr">
        <is>
          <t>"30 MIN FULL BODY WORKOUT - Apartment &amp; Small Space Friendly (No Equipment</t>
        </is>
      </c>
      <c r="F99" s="5" t="inlineStr">
        <is>
          <t>No Jumping)"</t>
        </is>
      </c>
      <c r="G99" s="5" t="n"/>
      <c r="H99" s="6" t="inlineStr">
        <is>
          <t>MadFit</t>
        </is>
      </c>
      <c r="I99" s="7" t="n"/>
      <c r="J99" s="7" t="n">
        <v>4889337</v>
      </c>
      <c r="K99" s="7" t="n"/>
      <c r="L99" s="7" t="n">
        <v>88000</v>
      </c>
      <c r="M99" s="5" t="n"/>
      <c r="N99" s="5" t="inlineStr">
        <is>
          <t>1327</t>
        </is>
      </c>
      <c r="O99" s="5" t="n"/>
      <c r="P99" s="5" t="n"/>
      <c r="Q99" s="5" t="n"/>
      <c r="R99" s="5" t="n"/>
      <c r="S99" s="5" t="n"/>
      <c r="T99" s="5" t="n"/>
      <c r="U99" s="5" t="n"/>
      <c r="V99" s="5" t="n"/>
      <c r="W99" s="5" t="n"/>
      <c r="X99" s="5" t="n"/>
      <c r="Y99" s="5" t="n"/>
      <c r="Z99" s="5" t="n"/>
      <c r="AA99" s="5" t="n"/>
      <c r="AB99" s="5" t="n"/>
      <c r="AC99" s="5" t="n"/>
      <c r="AD99" s="5" t="n"/>
      <c r="AE99" s="7">
        <f>SUM(O99:V99)</f>
        <v/>
      </c>
      <c r="AF99" s="7">
        <f>SUM(W99:AC99)</f>
        <v/>
      </c>
      <c r="AG99" s="7">
        <f>SUM(O99:AD99)</f>
        <v/>
      </c>
      <c r="AH99" s="5">
        <f>IF(AG99="","",IF(AG99&lt;=26,"Very Poor",IF(AG99&lt;=38,"Poor",IF(AG99&lt;=50,"Fair",IF(AG99&lt;=62,"Good","Excellent")))))</f>
        <v/>
      </c>
      <c r="AI99" s="5" t="n"/>
      <c r="AJ99" s="5" t="n"/>
      <c r="AK99" s="5" t="n"/>
      <c r="AL99" s="5" t="n"/>
      <c r="AM99" s="7">
        <f>COUNTIF(AI99:AL99,"Y")</f>
        <v/>
      </c>
      <c r="AN99" s="5" t="n"/>
    </row>
    <row r="100">
      <c r="A100" s="5" t="inlineStr">
        <is>
          <t>YT-49</t>
        </is>
      </c>
      <c r="B100" s="5" t="inlineStr">
        <is>
          <t>YouTube</t>
        </is>
      </c>
      <c r="C100" s="5" t="inlineStr">
        <is>
          <t>home workout routine</t>
        </is>
      </c>
      <c r="D100" s="5" t="inlineStr">
        <is>
          <t>https://www.youtube.com/watch?v=UIPvIYsjfpo</t>
        </is>
      </c>
      <c r="E100" s="5" t="inlineStr">
        <is>
          <t>30 Min FULL BODY WORKOUT with WARM UP | No Equipment &amp; No Repeat | Rowan Row</t>
        </is>
      </c>
      <c r="F100" s="5" t="inlineStr">
        <is>
          <t>Rowan Row</t>
        </is>
      </c>
      <c r="G100" s="5" t="n"/>
      <c r="H100" s="6" t="inlineStr">
        <is>
          <t>2024-10-02</t>
        </is>
      </c>
      <c r="I100" s="7" t="n">
        <v>4919683</v>
      </c>
      <c r="J100" s="7" t="n">
        <v>90000</v>
      </c>
      <c r="K100" s="7" t="n"/>
      <c r="L100" s="7" t="n">
        <v>3037</v>
      </c>
      <c r="M100" s="5" t="n"/>
      <c r="N100" s="5" t="inlineStr">
        <is>
          <t>Long video (&gt;5min)</t>
        </is>
      </c>
      <c r="O100" s="5" t="n"/>
      <c r="P100" s="5" t="n"/>
      <c r="Q100" s="5" t="n"/>
      <c r="R100" s="5" t="n"/>
      <c r="S100" s="5" t="n"/>
      <c r="T100" s="5" t="n"/>
      <c r="U100" s="5" t="n"/>
      <c r="V100" s="5" t="n"/>
      <c r="W100" s="5" t="n"/>
      <c r="X100" s="5" t="n"/>
      <c r="Y100" s="5" t="n"/>
      <c r="Z100" s="5" t="n"/>
      <c r="AA100" s="5" t="n"/>
      <c r="AB100" s="5" t="n"/>
      <c r="AC100" s="5" t="n"/>
      <c r="AD100" s="5" t="n"/>
      <c r="AE100" s="7">
        <f>SUM(O100:V100)</f>
        <v/>
      </c>
      <c r="AF100" s="7">
        <f>SUM(W100:AC100)</f>
        <v/>
      </c>
      <c r="AG100" s="7">
        <f>SUM(O100:AD100)</f>
        <v/>
      </c>
      <c r="AH100" s="5">
        <f>IF(AG100="","",IF(AG100&lt;=26,"Very Poor",IF(AG100&lt;=38,"Poor",IF(AG100&lt;=50,"Fair",IF(AG100&lt;=62,"Good","Excellent")))))</f>
        <v/>
      </c>
      <c r="AI100" s="5" t="n"/>
      <c r="AJ100" s="5" t="n"/>
      <c r="AK100" s="5" t="n"/>
      <c r="AL100" s="5" t="n"/>
      <c r="AM100" s="7">
        <f>COUNTIF(AI100:AL100,"Y")</f>
        <v/>
      </c>
      <c r="AN100" s="5" t="n"/>
    </row>
    <row r="101">
      <c r="A101" s="5" t="inlineStr">
        <is>
          <t>YT-50</t>
        </is>
      </c>
      <c r="B101" s="5" t="inlineStr">
        <is>
          <t>YouTube</t>
        </is>
      </c>
      <c r="C101" s="5" t="inlineStr">
        <is>
          <t>home workout routine</t>
        </is>
      </c>
      <c r="D101" s="5" t="inlineStr">
        <is>
          <t>https://www.youtube.com/watch?v=4iy4yEKa7W8</t>
        </is>
      </c>
      <c r="E101" s="5" t="inlineStr">
        <is>
          <t>30 MIN FULL BODY WORKOUT No Equipment (From the MadFit App)</t>
        </is>
      </c>
      <c r="F101" s="5" t="inlineStr">
        <is>
          <t>MadFit</t>
        </is>
      </c>
      <c r="G101" s="5" t="n"/>
      <c r="H101" s="6" t="inlineStr">
        <is>
          <t>2021-08-01</t>
        </is>
      </c>
      <c r="I101" s="7" t="n">
        <v>4075953</v>
      </c>
      <c r="J101" s="7" t="n">
        <v>70000</v>
      </c>
      <c r="K101" s="7" t="n"/>
      <c r="L101" s="7" t="n">
        <v>1153</v>
      </c>
      <c r="M101" s="5" t="n"/>
      <c r="N101" s="5" t="inlineStr">
        <is>
          <t>Long video (&gt;5min)</t>
        </is>
      </c>
      <c r="O101" s="5" t="n"/>
      <c r="P101" s="5" t="n"/>
      <c r="Q101" s="5" t="n"/>
      <c r="R101" s="5" t="n"/>
      <c r="S101" s="5" t="n"/>
      <c r="T101" s="5" t="n"/>
      <c r="U101" s="5" t="n"/>
      <c r="V101" s="5" t="n"/>
      <c r="W101" s="5" t="n"/>
      <c r="X101" s="5" t="n"/>
      <c r="Y101" s="5" t="n"/>
      <c r="Z101" s="5" t="n"/>
      <c r="AA101" s="5" t="n"/>
      <c r="AB101" s="5" t="n"/>
      <c r="AC101" s="5" t="n"/>
      <c r="AD101" s="5" t="n"/>
      <c r="AE101" s="7">
        <f>SUM(O101:V101)</f>
        <v/>
      </c>
      <c r="AF101" s="7">
        <f>SUM(W101:AC101)</f>
        <v/>
      </c>
      <c r="AG101" s="7">
        <f>SUM(O101:AD101)</f>
        <v/>
      </c>
      <c r="AH101" s="5">
        <f>IF(AG101="","",IF(AG101&lt;=26,"Very Poor",IF(AG101&lt;=38,"Poor",IF(AG101&lt;=50,"Fair",IF(AG101&lt;=62,"Good","Excellent")))))</f>
        <v/>
      </c>
      <c r="AI101" s="5" t="n"/>
      <c r="AJ101" s="5" t="n"/>
      <c r="AK101" s="5" t="n"/>
      <c r="AL101" s="5" t="n"/>
      <c r="AM101" s="7">
        <f>COUNTIF(AI101:AL101,"Y")</f>
        <v/>
      </c>
      <c r="AN101" s="5" t="n"/>
    </row>
    <row r="102">
      <c r="A102" s="8" t="inlineStr">
        <is>
          <t>TT-01</t>
        </is>
      </c>
      <c r="B102" s="8" t="inlineStr">
        <is>
          <t>TikTok</t>
        </is>
      </c>
      <c r="C102" s="8" t="inlineStr">
        <is>
          <t>how to start exercising</t>
        </is>
      </c>
      <c r="D102" s="8" t="inlineStr">
        <is>
          <t>https://www.tiktok.com/@raider007/video/7607625479041846558</t>
        </is>
      </c>
      <c r="E102" s="8" t="inlineStr">
        <is>
          <t>How to start working out</t>
        </is>
      </c>
      <c r="F102" s="8" t="inlineStr">
        <is>
          <t>RAIDER</t>
        </is>
      </c>
      <c r="G102" s="8" t="inlineStr">
        <is>
          <t>📩: rdcalisthenicsr5@gmail.com</t>
        </is>
      </c>
      <c r="H102" s="9" t="inlineStr">
        <is>
          <t>2026-02-17</t>
        </is>
      </c>
      <c r="I102" s="10" t="n">
        <v>4873</v>
      </c>
      <c r="J102" s="10" t="n">
        <v>316</v>
      </c>
      <c r="K102" s="10" t="n">
        <v>9</v>
      </c>
      <c r="L102" s="10" t="n">
        <v>11</v>
      </c>
      <c r="M102" s="8" t="n"/>
      <c r="N102" s="8" t="inlineStr">
        <is>
          <t>Short video (&lt;60s)</t>
        </is>
      </c>
      <c r="O102" s="8" t="n"/>
      <c r="P102" s="8" t="n"/>
      <c r="Q102" s="8" t="n"/>
      <c r="R102" s="8" t="n"/>
      <c r="S102" s="8" t="n"/>
      <c r="T102" s="8" t="n"/>
      <c r="U102" s="8" t="n"/>
      <c r="V102" s="8" t="n"/>
      <c r="W102" s="8" t="n"/>
      <c r="X102" s="8" t="n"/>
      <c r="Y102" s="8" t="n"/>
      <c r="Z102" s="8" t="n"/>
      <c r="AA102" s="8" t="n"/>
      <c r="AB102" s="8" t="n"/>
      <c r="AC102" s="8" t="n"/>
      <c r="AD102" s="8" t="n"/>
      <c r="AE102" s="10">
        <f>SUM(O102:V102)</f>
        <v/>
      </c>
      <c r="AF102" s="10">
        <f>SUM(W102:AC102)</f>
        <v/>
      </c>
      <c r="AG102" s="10">
        <f>SUM(O102:AD102)</f>
        <v/>
      </c>
      <c r="AH102" s="8">
        <f>IF(AG102="","",IF(AG102&lt;=26,"Very Poor",IF(AG102&lt;=38,"Poor",IF(AG102&lt;=50,"Fair",IF(AG102&lt;=62,"Good","Excellent")))))</f>
        <v/>
      </c>
      <c r="AI102" s="8" t="n"/>
      <c r="AJ102" s="8" t="n"/>
      <c r="AK102" s="8" t="n"/>
      <c r="AL102" s="8" t="n"/>
      <c r="AM102" s="10">
        <f>COUNTIF(AI102:AL102,"Y")</f>
        <v/>
      </c>
      <c r="AN102" s="8" t="n"/>
    </row>
    <row r="103">
      <c r="A103" s="8" t="inlineStr">
        <is>
          <t>TT-02</t>
        </is>
      </c>
      <c r="B103" s="8" t="inlineStr">
        <is>
          <t>TikTok</t>
        </is>
      </c>
      <c r="C103" s="8" t="inlineStr">
        <is>
          <t>how to start exercising</t>
        </is>
      </c>
      <c r="D103" s="8" t="inlineStr">
        <is>
          <t>https://www.tiktok.com/@unifiedptandyoga/video/7571918357369195807</t>
        </is>
      </c>
      <c r="E103" s="8" t="inlineStr">
        <is>
          <t>Replying to @pambernickel save this one if you need a gym or home routine</t>
        </is>
      </c>
      <c r="F103" s="8" t="inlineStr">
        <is>
          <t>"Sammy | DPT</t>
        </is>
      </c>
      <c r="G103" s="8" t="inlineStr">
        <is>
          <t>RYT"</t>
        </is>
      </c>
      <c r="H103" s="9" t="inlineStr">
        <is>
          <t>samspiegspt@gmail.com</t>
        </is>
      </c>
      <c r="I103" s="10" t="n"/>
      <c r="J103" s="10" t="n">
        <v>38800</v>
      </c>
      <c r="K103" s="10" t="n">
        <v>2778</v>
      </c>
      <c r="L103" s="10" t="n">
        <v>305</v>
      </c>
      <c r="M103" s="8" t="n"/>
      <c r="N103" s="8" t="inlineStr">
        <is>
          <t>72</t>
        </is>
      </c>
      <c r="O103" s="8" t="n"/>
      <c r="P103" s="8" t="n"/>
      <c r="Q103" s="8" t="n"/>
      <c r="R103" s="8" t="n"/>
      <c r="S103" s="8" t="n"/>
      <c r="T103" s="8" t="n"/>
      <c r="U103" s="8" t="n"/>
      <c r="V103" s="8" t="n"/>
      <c r="W103" s="8" t="n"/>
      <c r="X103" s="8" t="n"/>
      <c r="Y103" s="8" t="n"/>
      <c r="Z103" s="8" t="n"/>
      <c r="AA103" s="8" t="n"/>
      <c r="AB103" s="8" t="n"/>
      <c r="AC103" s="8" t="n"/>
      <c r="AD103" s="8" t="n"/>
      <c r="AE103" s="10">
        <f>SUM(O103:V103)</f>
        <v/>
      </c>
      <c r="AF103" s="10">
        <f>SUM(W103:AC103)</f>
        <v/>
      </c>
      <c r="AG103" s="10">
        <f>SUM(O103:AD103)</f>
        <v/>
      </c>
      <c r="AH103" s="8">
        <f>IF(AG103="","",IF(AG103&lt;=26,"Very Poor",IF(AG103&lt;=38,"Poor",IF(AG103&lt;=50,"Fair",IF(AG103&lt;=62,"Good","Excellent")))))</f>
        <v/>
      </c>
      <c r="AI103" s="8" t="n"/>
      <c r="AJ103" s="8" t="n"/>
      <c r="AK103" s="8" t="n"/>
      <c r="AL103" s="8" t="n"/>
      <c r="AM103" s="10">
        <f>COUNTIF(AI103:AL103,"Y")</f>
        <v/>
      </c>
      <c r="AN103" s="8" t="n"/>
    </row>
    <row r="104">
      <c r="A104" s="8" t="inlineStr">
        <is>
          <t>TT-03</t>
        </is>
      </c>
      <c r="B104" s="8" t="inlineStr">
        <is>
          <t>TikTok</t>
        </is>
      </c>
      <c r="C104" s="8" t="inlineStr">
        <is>
          <t>how to start exercising</t>
        </is>
      </c>
      <c r="D104" s="8" t="inlineStr">
        <is>
          <t>https://www.tiktok.com/@pierredalati/video/7460973559838559494</t>
        </is>
      </c>
      <c r="E104" s="8" t="inlineStr">
        <is>
          <t>What to know before starting to workout #fitness #fitnesstips #selfimprovement #fyp</t>
        </is>
      </c>
      <c r="F104" s="8" t="inlineStr">
        <is>
          <t>Pierre Dalati</t>
        </is>
      </c>
      <c r="G104" s="8" t="inlineStr">
        <is>
          <t>Your online older brother 🫡📩:contact.dalati@gmail.com - Create Any App or Website With Emergent ⬇️</t>
        </is>
      </c>
      <c r="H104" s="9" t="inlineStr">
        <is>
          <t>2025-01-17</t>
        </is>
      </c>
      <c r="I104" s="10" t="n">
        <v>133100</v>
      </c>
      <c r="J104" s="10" t="n">
        <v>13500</v>
      </c>
      <c r="K104" s="10" t="n">
        <v>229</v>
      </c>
      <c r="L104" s="10" t="n">
        <v>76</v>
      </c>
      <c r="M104" s="8" t="n"/>
      <c r="N104" s="8" t="inlineStr">
        <is>
          <t>Short video (&lt;60s)</t>
        </is>
      </c>
      <c r="O104" s="8" t="n"/>
      <c r="P104" s="8" t="n"/>
      <c r="Q104" s="8" t="n"/>
      <c r="R104" s="8" t="n"/>
      <c r="S104" s="8" t="n"/>
      <c r="T104" s="8" t="n"/>
      <c r="U104" s="8" t="n"/>
      <c r="V104" s="8" t="n"/>
      <c r="W104" s="8" t="n"/>
      <c r="X104" s="8" t="n"/>
      <c r="Y104" s="8" t="n"/>
      <c r="Z104" s="8" t="n"/>
      <c r="AA104" s="8" t="n"/>
      <c r="AB104" s="8" t="n"/>
      <c r="AC104" s="8" t="n"/>
      <c r="AD104" s="8" t="n"/>
      <c r="AE104" s="10">
        <f>SUM(O104:V104)</f>
        <v/>
      </c>
      <c r="AF104" s="10">
        <f>SUM(W104:AC104)</f>
        <v/>
      </c>
      <c r="AG104" s="10">
        <f>SUM(O104:AD104)</f>
        <v/>
      </c>
      <c r="AH104" s="8">
        <f>IF(AG104="","",IF(AG104&lt;=26,"Very Poor",IF(AG104&lt;=38,"Poor",IF(AG104&lt;=50,"Fair",IF(AG104&lt;=62,"Good","Excellent")))))</f>
        <v/>
      </c>
      <c r="AI104" s="8" t="n"/>
      <c r="AJ104" s="8" t="n"/>
      <c r="AK104" s="8" t="n"/>
      <c r="AL104" s="8" t="n"/>
      <c r="AM104" s="10">
        <f>COUNTIF(AI104:AL104,"Y")</f>
        <v/>
      </c>
      <c r="AN104" s="8" t="n"/>
    </row>
    <row r="105">
      <c r="A105" s="8" t="inlineStr">
        <is>
          <t>TT-04</t>
        </is>
      </c>
      <c r="B105" s="8" t="inlineStr">
        <is>
          <t>TikTok</t>
        </is>
      </c>
      <c r="C105" s="8" t="inlineStr">
        <is>
          <t>how to start exercising</t>
        </is>
      </c>
      <c r="D105" s="8" t="inlineStr">
        <is>
          <t>https://www.tiktok.com/@raider007/video/7560829058351713567</t>
        </is>
      </c>
      <c r="E105" s="8" t="inlineStr">
        <is>
          <t>How to start working out in your room for beginners</t>
        </is>
      </c>
      <c r="F105" s="8" t="inlineStr">
        <is>
          <t>RAIDER</t>
        </is>
      </c>
      <c r="G105" s="8" t="inlineStr">
        <is>
          <t>📩: rdcalisthenicsr5@gmail.com</t>
        </is>
      </c>
      <c r="H105" s="9" t="inlineStr">
        <is>
          <t>2025-10-13</t>
        </is>
      </c>
      <c r="I105" s="10" t="n">
        <v>49000</v>
      </c>
      <c r="J105" s="10" t="n">
        <v>2950</v>
      </c>
      <c r="K105" s="10" t="n">
        <v>166</v>
      </c>
      <c r="L105" s="10" t="n">
        <v>31</v>
      </c>
      <c r="M105" s="8" t="n"/>
      <c r="N105" s="8" t="inlineStr">
        <is>
          <t>Short video (&lt;60s)</t>
        </is>
      </c>
      <c r="O105" s="8" t="n"/>
      <c r="P105" s="8" t="n"/>
      <c r="Q105" s="8" t="n"/>
      <c r="R105" s="8" t="n"/>
      <c r="S105" s="8" t="n"/>
      <c r="T105" s="8" t="n"/>
      <c r="U105" s="8" t="n"/>
      <c r="V105" s="8" t="n"/>
      <c r="W105" s="8" t="n"/>
      <c r="X105" s="8" t="n"/>
      <c r="Y105" s="8" t="n"/>
      <c r="Z105" s="8" t="n"/>
      <c r="AA105" s="8" t="n"/>
      <c r="AB105" s="8" t="n"/>
      <c r="AC105" s="8" t="n"/>
      <c r="AD105" s="8" t="n"/>
      <c r="AE105" s="10">
        <f>SUM(O105:V105)</f>
        <v/>
      </c>
      <c r="AF105" s="10">
        <f>SUM(W105:AC105)</f>
        <v/>
      </c>
      <c r="AG105" s="10">
        <f>SUM(O105:AD105)</f>
        <v/>
      </c>
      <c r="AH105" s="8">
        <f>IF(AG105="","",IF(AG105&lt;=26,"Very Poor",IF(AG105&lt;=38,"Poor",IF(AG105&lt;=50,"Fair",IF(AG105&lt;=62,"Good","Excellent")))))</f>
        <v/>
      </c>
      <c r="AI105" s="8" t="n"/>
      <c r="AJ105" s="8" t="n"/>
      <c r="AK105" s="8" t="n"/>
      <c r="AL105" s="8" t="n"/>
      <c r="AM105" s="10">
        <f>COUNTIF(AI105:AL105,"Y")</f>
        <v/>
      </c>
      <c r="AN105" s="8" t="n"/>
    </row>
    <row r="106">
      <c r="A106" s="8" t="inlineStr">
        <is>
          <t>TT-05</t>
        </is>
      </c>
      <c r="B106" s="8" t="inlineStr">
        <is>
          <t>TikTok</t>
        </is>
      </c>
      <c r="C106" s="8" t="inlineStr">
        <is>
          <t>how to start exercising</t>
        </is>
      </c>
      <c r="D106" s="8" t="inlineStr">
        <is>
          <t>https://www.tiktok.com/@tonedwithcristina/video/7591672585377598734</t>
        </is>
      </c>
      <c r="E106" s="8" t="inlineStr">
        <is>
          <t>if strength training is one of your 2026 goals I got you   Superset 1: 10 squats  10 shoulder press  Repeat 3x  Superset 2: 12 alternating reverse lunges  10 bicep curls  Repeat 3x  Superset 3: 10 sumo squats  10 overhead tricep extensions  Repeat 3x   Finisher: Plank hold - as long as you can! Repeat 3x  #beginnerworkout #beginnerstrengthtraining #fullbodyworkout #quickworkout</t>
        </is>
      </c>
      <c r="F106" s="8" t="inlineStr">
        <is>
          <t>tonedwithcristina</t>
        </is>
      </c>
      <c r="G106" s="8" t="inlineStr">
        <is>
          <t>"fitness</t>
        </is>
      </c>
      <c r="H106" s="9" t="inlineStr">
        <is>
          <t>food &amp; fun clothes  🥊❤️🍓 tonedwithcristina@gmail.com"</t>
        </is>
      </c>
      <c r="I106" s="10" t="n"/>
      <c r="J106" s="10" t="n">
        <v>345500</v>
      </c>
      <c r="K106" s="10" t="n">
        <v>13000</v>
      </c>
      <c r="L106" s="10" t="n">
        <v>903</v>
      </c>
      <c r="M106" s="8" t="n"/>
      <c r="N106" s="8" t="inlineStr">
        <is>
          <t>41</t>
        </is>
      </c>
      <c r="O106" s="8" t="n"/>
      <c r="P106" s="8" t="n"/>
      <c r="Q106" s="8" t="n"/>
      <c r="R106" s="8" t="n"/>
      <c r="S106" s="8" t="n"/>
      <c r="T106" s="8" t="n"/>
      <c r="U106" s="8" t="n"/>
      <c r="V106" s="8" t="n"/>
      <c r="W106" s="8" t="n"/>
      <c r="X106" s="8" t="n"/>
      <c r="Y106" s="8" t="n"/>
      <c r="Z106" s="8" t="n"/>
      <c r="AA106" s="8" t="n"/>
      <c r="AB106" s="8" t="n"/>
      <c r="AC106" s="8" t="n"/>
      <c r="AD106" s="8" t="n"/>
      <c r="AE106" s="10">
        <f>SUM(O106:V106)</f>
        <v/>
      </c>
      <c r="AF106" s="10">
        <f>SUM(W106:AC106)</f>
        <v/>
      </c>
      <c r="AG106" s="10">
        <f>SUM(O106:AD106)</f>
        <v/>
      </c>
      <c r="AH106" s="8">
        <f>IF(AG106="","",IF(AG106&lt;=26,"Very Poor",IF(AG106&lt;=38,"Poor",IF(AG106&lt;=50,"Fair",IF(AG106&lt;=62,"Good","Excellent")))))</f>
        <v/>
      </c>
      <c r="AI106" s="8" t="n"/>
      <c r="AJ106" s="8" t="n"/>
      <c r="AK106" s="8" t="n"/>
      <c r="AL106" s="8" t="n"/>
      <c r="AM106" s="10">
        <f>COUNTIF(AI106:AL106,"Y")</f>
        <v/>
      </c>
      <c r="AN106" s="8" t="n"/>
    </row>
    <row r="107">
      <c r="A107" s="8" t="inlineStr">
        <is>
          <t>TT-06</t>
        </is>
      </c>
      <c r="B107" s="8" t="inlineStr">
        <is>
          <t>TikTok</t>
        </is>
      </c>
      <c r="C107" s="8" t="inlineStr">
        <is>
          <t>how to start exercising</t>
        </is>
      </c>
      <c r="D107" s="8" t="inlineStr">
        <is>
          <t>https://www.tiktok.com/@jelinuh/video/7601635741109619999</t>
        </is>
      </c>
      <c r="E107" s="8" t="inlineStr">
        <is>
          <t>"Take it easy and start light</t>
        </is>
      </c>
      <c r="F107" s="8" t="inlineStr">
        <is>
          <t>work your way into it once you’re comfortable and ready to challenge yourself💛 good luck MAMAS🤭😍💪 #fitnesstips #beginnertips #postpartumjourney #postpartumfitness"</t>
        </is>
      </c>
      <c r="G107" s="8" t="inlineStr">
        <is>
          <t>Jelina</t>
        </is>
      </c>
      <c r="H107" s="9" t="inlineStr">
        <is>
          <t>Boy mama🩵 Fitness/Beauty/Lifestyle🏋🏽‍♀️ I dance a little 💃😉 CO 🏔️🌅 📩: Jelina@tiptopbranding.com</t>
        </is>
      </c>
      <c r="I107" s="10" t="n"/>
      <c r="J107" s="10" t="n">
        <v>2019</v>
      </c>
      <c r="K107" s="10" t="n">
        <v>184</v>
      </c>
      <c r="L107" s="10" t="n">
        <v>3</v>
      </c>
      <c r="M107" s="8" t="n"/>
      <c r="N107" s="8" t="inlineStr">
        <is>
          <t>5</t>
        </is>
      </c>
      <c r="O107" s="8" t="n"/>
      <c r="P107" s="8" t="n"/>
      <c r="Q107" s="8" t="n"/>
      <c r="R107" s="8" t="n"/>
      <c r="S107" s="8" t="n"/>
      <c r="T107" s="8" t="n"/>
      <c r="U107" s="8" t="n"/>
      <c r="V107" s="8" t="n"/>
      <c r="W107" s="8" t="n"/>
      <c r="X107" s="8" t="n"/>
      <c r="Y107" s="8" t="n"/>
      <c r="Z107" s="8" t="n"/>
      <c r="AA107" s="8" t="n"/>
      <c r="AB107" s="8" t="n"/>
      <c r="AC107" s="8" t="n"/>
      <c r="AD107" s="8" t="n"/>
      <c r="AE107" s="10">
        <f>SUM(O107:V107)</f>
        <v/>
      </c>
      <c r="AF107" s="10">
        <f>SUM(W107:AC107)</f>
        <v/>
      </c>
      <c r="AG107" s="10">
        <f>SUM(O107:AD107)</f>
        <v/>
      </c>
      <c r="AH107" s="8">
        <f>IF(AG107="","",IF(AG107&lt;=26,"Very Poor",IF(AG107&lt;=38,"Poor",IF(AG107&lt;=50,"Fair",IF(AG107&lt;=62,"Good","Excellent")))))</f>
        <v/>
      </c>
      <c r="AI107" s="8" t="n"/>
      <c r="AJ107" s="8" t="n"/>
      <c r="AK107" s="8" t="n"/>
      <c r="AL107" s="8" t="n"/>
      <c r="AM107" s="10">
        <f>COUNTIF(AI107:AL107,"Y")</f>
        <v/>
      </c>
      <c r="AN107" s="8" t="n"/>
    </row>
    <row r="108">
      <c r="A108" s="8" t="inlineStr">
        <is>
          <t>TT-07</t>
        </is>
      </c>
      <c r="B108" s="8" t="inlineStr">
        <is>
          <t>TikTok</t>
        </is>
      </c>
      <c r="C108" s="8" t="inlineStr">
        <is>
          <t>how to start exercising</t>
        </is>
      </c>
      <c r="D108" s="8" t="inlineStr">
        <is>
          <t>https://www.tiktok.com/@justin_agustin/video/7581609893367483649</t>
        </is>
      </c>
      <c r="E108" s="8" t="inlineStr">
        <is>
          <t>"If I was a beginner</t>
        </is>
      </c>
      <c r="F108" s="8" t="inlineStr">
        <is>
          <t>I wouldn't neglect these exercises! Matter of fact</t>
        </is>
      </c>
      <c r="G108" s="8" t="inlineStr">
        <is>
          <t>I would do 10-15 repetitions of each for 3 rounds</t>
        </is>
      </c>
      <c r="H108" s="9" t="inlineStr">
        <is>
          <t>2-3 times a week. They are vital for maintain strength for daily life activities</t>
        </is>
      </c>
      <c r="I108" s="10" t="n"/>
      <c r="J108" s="10" t="n"/>
      <c r="K108" s="10" t="n"/>
      <c r="L108" s="10" t="n"/>
      <c r="M108" s="8" t="n"/>
      <c r="N108" s="8" t="inlineStr">
        <is>
          <t>2025-12-08T22:00:24.000Z</t>
        </is>
      </c>
      <c r="O108" s="8" t="n"/>
      <c r="P108" s="8" t="n"/>
      <c r="Q108" s="8" t="n"/>
      <c r="R108" s="8" t="n"/>
      <c r="S108" s="8" t="n"/>
      <c r="T108" s="8" t="n"/>
      <c r="U108" s="8" t="n"/>
      <c r="V108" s="8" t="n"/>
      <c r="W108" s="8" t="n"/>
      <c r="X108" s="8" t="n"/>
      <c r="Y108" s="8" t="n"/>
      <c r="Z108" s="8" t="n"/>
      <c r="AA108" s="8" t="n"/>
      <c r="AB108" s="8" t="n"/>
      <c r="AC108" s="8" t="n"/>
      <c r="AD108" s="8" t="n"/>
      <c r="AE108" s="10">
        <f>SUM(O108:V108)</f>
        <v/>
      </c>
      <c r="AF108" s="10">
        <f>SUM(W108:AC108)</f>
        <v/>
      </c>
      <c r="AG108" s="10">
        <f>SUM(O108:AD108)</f>
        <v/>
      </c>
      <c r="AH108" s="8">
        <f>IF(AG108="","",IF(AG108&lt;=26,"Very Poor",IF(AG108&lt;=38,"Poor",IF(AG108&lt;=50,"Fair",IF(AG108&lt;=62,"Good","Excellent")))))</f>
        <v/>
      </c>
      <c r="AI108" s="8" t="n"/>
      <c r="AJ108" s="8" t="n"/>
      <c r="AK108" s="8" t="n"/>
      <c r="AL108" s="8" t="n"/>
      <c r="AM108" s="10">
        <f>COUNTIF(AI108:AL108,"Y")</f>
        <v/>
      </c>
      <c r="AN108" s="8" t="n"/>
    </row>
    <row r="109">
      <c r="A109" s="8" t="inlineStr">
        <is>
          <t>TT-08</t>
        </is>
      </c>
      <c r="B109" s="8" t="inlineStr">
        <is>
          <t>TikTok</t>
        </is>
      </c>
      <c r="C109" s="8" t="inlineStr">
        <is>
          <t>how to start exercising</t>
        </is>
      </c>
      <c r="D109" s="8" t="inlineStr">
        <is>
          <t>https://www.tiktok.com/@_lucyhealy/video/7608652305558179074</t>
        </is>
      </c>
      <c r="E109" s="8" t="inlineStr">
        <is>
          <t>"If you’re not sure how to start your calisthenics journey</t>
        </is>
      </c>
      <c r="F109" s="8" t="inlineStr">
        <is>
          <t>this workout can be done anywhere and will help build your strength! Save for your next workout 🤸🏼‍♀️  #calisthenicsjourney #calisthenicsgirls #calisthenicsbeginner"</t>
        </is>
      </c>
      <c r="G109" s="8" t="inlineStr">
        <is>
          <t>Lucy Healy</t>
        </is>
      </c>
      <c r="H109" s="9" t="inlineStr">
        <is>
          <t>probably upside down🤸🏼‍♀️ learn calisthenics with me🫶🏼 @Gymshark @GORNATION LUCYH10</t>
        </is>
      </c>
      <c r="I109" s="10" t="n"/>
      <c r="J109" s="10" t="n">
        <v>242400</v>
      </c>
      <c r="K109" s="10" t="n">
        <v>21500</v>
      </c>
      <c r="L109" s="10" t="n">
        <v>860</v>
      </c>
      <c r="M109" s="8" t="n"/>
      <c r="N109" s="8" t="inlineStr">
        <is>
          <t>34</t>
        </is>
      </c>
      <c r="O109" s="8" t="n"/>
      <c r="P109" s="8" t="n"/>
      <c r="Q109" s="8" t="n"/>
      <c r="R109" s="8" t="n"/>
      <c r="S109" s="8" t="n"/>
      <c r="T109" s="8" t="n"/>
      <c r="U109" s="8" t="n"/>
      <c r="V109" s="8" t="n"/>
      <c r="W109" s="8" t="n"/>
      <c r="X109" s="8" t="n"/>
      <c r="Y109" s="8" t="n"/>
      <c r="Z109" s="8" t="n"/>
      <c r="AA109" s="8" t="n"/>
      <c r="AB109" s="8" t="n"/>
      <c r="AC109" s="8" t="n"/>
      <c r="AD109" s="8" t="n"/>
      <c r="AE109" s="10">
        <f>SUM(O109:V109)</f>
        <v/>
      </c>
      <c r="AF109" s="10">
        <f>SUM(W109:AC109)</f>
        <v/>
      </c>
      <c r="AG109" s="10">
        <f>SUM(O109:AD109)</f>
        <v/>
      </c>
      <c r="AH109" s="8">
        <f>IF(AG109="","",IF(AG109&lt;=26,"Very Poor",IF(AG109&lt;=38,"Poor",IF(AG109&lt;=50,"Fair",IF(AG109&lt;=62,"Good","Excellent")))))</f>
        <v/>
      </c>
      <c r="AI109" s="8" t="n"/>
      <c r="AJ109" s="8" t="n"/>
      <c r="AK109" s="8" t="n"/>
      <c r="AL109" s="8" t="n"/>
      <c r="AM109" s="10">
        <f>COUNTIF(AI109:AL109,"Y")</f>
        <v/>
      </c>
      <c r="AN109" s="8" t="n"/>
    </row>
    <row r="110">
      <c r="A110" s="8" t="inlineStr">
        <is>
          <t>TT-09</t>
        </is>
      </c>
      <c r="B110" s="8" t="inlineStr">
        <is>
          <t>TikTok</t>
        </is>
      </c>
      <c r="C110" s="8" t="inlineStr">
        <is>
          <t>how to start exercising</t>
        </is>
      </c>
      <c r="D110" s="8" t="inlineStr">
        <is>
          <t>https://www.tiktok.com/@thebeardedbodybuilder/video/7558117923152334094</t>
        </is>
      </c>
      <c r="E110" s="8" t="inlineStr">
        <is>
          <t>Don’t know where to start in the gym? Start here. The Beginner’s Gym Blueprint 5-Day Split #beginnerworkouts #gymnewbie #gymtok #bodybuilding #workoutplan</t>
        </is>
      </c>
      <c r="F110" s="8" t="inlineStr">
        <is>
          <t>Bar Benders Fitness</t>
        </is>
      </c>
      <c r="G110" s="8" t="inlineStr">
        <is>
          <t>I'm here to help you cut through the BS &amp; get jacked-follow for daily blueprints</t>
        </is>
      </c>
      <c r="H110" s="9" t="inlineStr">
        <is>
          <t>2025-10-06</t>
        </is>
      </c>
      <c r="I110" s="10" t="n">
        <v>1500000</v>
      </c>
      <c r="J110" s="10" t="n">
        <v>85400</v>
      </c>
      <c r="K110" s="10" t="n">
        <v>8208</v>
      </c>
      <c r="L110" s="10" t="n">
        <v>570</v>
      </c>
      <c r="M110" s="8" t="n"/>
      <c r="N110" s="8" t="inlineStr">
        <is>
          <t>Short video (&lt;60s)</t>
        </is>
      </c>
      <c r="O110" s="8" t="n"/>
      <c r="P110" s="8" t="n"/>
      <c r="Q110" s="8" t="n"/>
      <c r="R110" s="8" t="n"/>
      <c r="S110" s="8" t="n"/>
      <c r="T110" s="8" t="n"/>
      <c r="U110" s="8" t="n"/>
      <c r="V110" s="8" t="n"/>
      <c r="W110" s="8" t="n"/>
      <c r="X110" s="8" t="n"/>
      <c r="Y110" s="8" t="n"/>
      <c r="Z110" s="8" t="n"/>
      <c r="AA110" s="8" t="n"/>
      <c r="AB110" s="8" t="n"/>
      <c r="AC110" s="8" t="n"/>
      <c r="AD110" s="8" t="n"/>
      <c r="AE110" s="10">
        <f>SUM(O110:V110)</f>
        <v/>
      </c>
      <c r="AF110" s="10">
        <f>SUM(W110:AC110)</f>
        <v/>
      </c>
      <c r="AG110" s="10">
        <f>SUM(O110:AD110)</f>
        <v/>
      </c>
      <c r="AH110" s="8">
        <f>IF(AG110="","",IF(AG110&lt;=26,"Very Poor",IF(AG110&lt;=38,"Poor",IF(AG110&lt;=50,"Fair",IF(AG110&lt;=62,"Good","Excellent")))))</f>
        <v/>
      </c>
      <c r="AI110" s="8" t="n"/>
      <c r="AJ110" s="8" t="n"/>
      <c r="AK110" s="8" t="n"/>
      <c r="AL110" s="8" t="n"/>
      <c r="AM110" s="10">
        <f>COUNTIF(AI110:AL110,"Y")</f>
        <v/>
      </c>
      <c r="AN110" s="8" t="n"/>
    </row>
    <row r="111">
      <c r="A111" s="8" t="inlineStr">
        <is>
          <t>TT-10</t>
        </is>
      </c>
      <c r="B111" s="8" t="inlineStr">
        <is>
          <t>TikTok</t>
        </is>
      </c>
      <c r="C111" s="8" t="inlineStr">
        <is>
          <t>how to start exercising</t>
        </is>
      </c>
      <c r="D111" s="8" t="inlineStr">
        <is>
          <t>https://www.tiktok.com/@jordan_morgan_/video/7274999521296256288</t>
        </is>
      </c>
      <c r="E111" s="8" t="inlineStr">
        <is>
          <t>"WORKOUT DETAILS DOWN BELOW 👇  The perfect full body beginner workout if you’re new to the gym or training in general and want to ease yourself in slowly! These movements target your lower body</t>
        </is>
      </c>
      <c r="F111" s="8" t="inlineStr">
        <is>
          <t>upper body and core!  Warm up as needed   3 sets:  DB goblet squat x10  Seated shoulder press x10 each side   3 sets:  KB deadlfit x10  Single arm bent over row x10 each side   3 sets:  DB pull through x10-20   Rest as needed throughout the whole workout!   #beginnerworkout #fitnesscoach #personaltrainer"</t>
        </is>
      </c>
      <c r="G111" s="8" t="inlineStr">
        <is>
          <t>Jordan Morgan | Fitness Coach</t>
        </is>
      </c>
      <c r="H111" s="9" t="inlineStr">
        <is>
          <t>✨FITNESS COACH✨ Link down below for coaching enquiries and programs 👇👇👇  Jordan@jordanmorganpt.com</t>
        </is>
      </c>
      <c r="I111" s="10" t="n"/>
      <c r="J111" s="10" t="n">
        <v>9200000</v>
      </c>
      <c r="K111" s="10" t="n">
        <v>402400</v>
      </c>
      <c r="L111" s="10" t="n">
        <v>37500</v>
      </c>
      <c r="M111" s="8" t="n"/>
      <c r="N111" s="8" t="inlineStr">
        <is>
          <t>1482</t>
        </is>
      </c>
      <c r="O111" s="8" t="n"/>
      <c r="P111" s="8" t="n"/>
      <c r="Q111" s="8" t="n"/>
      <c r="R111" s="8" t="n"/>
      <c r="S111" s="8" t="n"/>
      <c r="T111" s="8" t="n"/>
      <c r="U111" s="8" t="n"/>
      <c r="V111" s="8" t="n"/>
      <c r="W111" s="8" t="n"/>
      <c r="X111" s="8" t="n"/>
      <c r="Y111" s="8" t="n"/>
      <c r="Z111" s="8" t="n"/>
      <c r="AA111" s="8" t="n"/>
      <c r="AB111" s="8" t="n"/>
      <c r="AC111" s="8" t="n"/>
      <c r="AD111" s="8" t="n"/>
      <c r="AE111" s="10">
        <f>SUM(O111:V111)</f>
        <v/>
      </c>
      <c r="AF111" s="10">
        <f>SUM(W111:AC111)</f>
        <v/>
      </c>
      <c r="AG111" s="10">
        <f>SUM(O111:AD111)</f>
        <v/>
      </c>
      <c r="AH111" s="8">
        <f>IF(AG111="","",IF(AG111&lt;=26,"Very Poor",IF(AG111&lt;=38,"Poor",IF(AG111&lt;=50,"Fair",IF(AG111&lt;=62,"Good","Excellent")))))</f>
        <v/>
      </c>
      <c r="AI111" s="8" t="n"/>
      <c r="AJ111" s="8" t="n"/>
      <c r="AK111" s="8" t="n"/>
      <c r="AL111" s="8" t="n"/>
      <c r="AM111" s="10">
        <f>COUNTIF(AI111:AL111,"Y")</f>
        <v/>
      </c>
      <c r="AN111" s="8" t="n"/>
    </row>
    <row r="112">
      <c r="A112" s="8" t="inlineStr">
        <is>
          <t>TT-11</t>
        </is>
      </c>
      <c r="B112" s="8" t="inlineStr">
        <is>
          <t>TikTok</t>
        </is>
      </c>
      <c r="C112" s="8" t="inlineStr">
        <is>
          <t>best exercises to lose weight</t>
        </is>
      </c>
      <c r="D112" s="8" t="inlineStr">
        <is>
          <t>https://www.tiktok.com/@gabexrocha/video/7537750112957680909</t>
        </is>
      </c>
      <c r="E112" s="8" t="inlineStr">
        <is>
          <t>"Losing fat isn’t about hours of cardio—lift weights</t>
        </is>
      </c>
      <c r="F112" s="8" t="inlineStr">
        <is>
          <t>train smart</t>
        </is>
      </c>
      <c r="G112" s="8" t="inlineStr">
        <is>
          <t>and change your body. Here’s my 4-day blueprint that built my dream body while working 14-hour days. #FatLossWorkout #WeightTraining #GymHacks"</t>
        </is>
      </c>
      <c r="H112" s="9" t="inlineStr">
        <is>
          <t>Women's Weight Loss Coach</t>
        </is>
      </c>
      <c r="I112" s="10" t="n"/>
      <c r="J112" s="10" t="n"/>
      <c r="K112" s="10" t="n">
        <v>168100</v>
      </c>
      <c r="L112" s="10" t="n">
        <v>5951</v>
      </c>
      <c r="M112" s="8" t="n"/>
      <c r="N112" s="8" t="inlineStr">
        <is>
          <t>820</t>
        </is>
      </c>
      <c r="O112" s="8" t="n"/>
      <c r="P112" s="8" t="n"/>
      <c r="Q112" s="8" t="n"/>
      <c r="R112" s="8" t="n"/>
      <c r="S112" s="8" t="n"/>
      <c r="T112" s="8" t="n"/>
      <c r="U112" s="8" t="n"/>
      <c r="V112" s="8" t="n"/>
      <c r="W112" s="8" t="n"/>
      <c r="X112" s="8" t="n"/>
      <c r="Y112" s="8" t="n"/>
      <c r="Z112" s="8" t="n"/>
      <c r="AA112" s="8" t="n"/>
      <c r="AB112" s="8" t="n"/>
      <c r="AC112" s="8" t="n"/>
      <c r="AD112" s="8" t="n"/>
      <c r="AE112" s="10">
        <f>SUM(O112:V112)</f>
        <v/>
      </c>
      <c r="AF112" s="10">
        <f>SUM(W112:AC112)</f>
        <v/>
      </c>
      <c r="AG112" s="10">
        <f>SUM(O112:AD112)</f>
        <v/>
      </c>
      <c r="AH112" s="8">
        <f>IF(AG112="","",IF(AG112&lt;=26,"Very Poor",IF(AG112&lt;=38,"Poor",IF(AG112&lt;=50,"Fair",IF(AG112&lt;=62,"Good","Excellent")))))</f>
        <v/>
      </c>
      <c r="AI112" s="8" t="n"/>
      <c r="AJ112" s="8" t="n"/>
      <c r="AK112" s="8" t="n"/>
      <c r="AL112" s="8" t="n"/>
      <c r="AM112" s="10">
        <f>COUNTIF(AI112:AL112,"Y")</f>
        <v/>
      </c>
      <c r="AN112" s="8" t="n"/>
    </row>
    <row r="113">
      <c r="A113" s="8" t="inlineStr">
        <is>
          <t>TT-12</t>
        </is>
      </c>
      <c r="B113" s="8" t="inlineStr">
        <is>
          <t>TikTok</t>
        </is>
      </c>
      <c r="C113" s="8" t="inlineStr">
        <is>
          <t>best exercises to lose weight</t>
        </is>
      </c>
      <c r="D113" s="8" t="inlineStr">
        <is>
          <t>https://www.tiktok.com/@naya.nx/video/7604126685788704022</t>
        </is>
      </c>
      <c r="E113" s="8" t="inlineStr">
        <is>
          <t>The best forms of cardio to lose fat #cardio #gymbeginners #gymroutine #fatloss #fitnes</t>
        </is>
      </c>
      <c r="F113" s="8" t="inlineStr">
        <is>
          <t>NYA</t>
        </is>
      </c>
      <c r="G113" s="8" t="inlineStr">
        <is>
          <t>I shout a lot x IG- nyaafit</t>
        </is>
      </c>
      <c r="H113" s="9" t="inlineStr">
        <is>
          <t>2026-02-07</t>
        </is>
      </c>
      <c r="I113" s="10" t="n">
        <v>2500000</v>
      </c>
      <c r="J113" s="10" t="n">
        <v>280500</v>
      </c>
      <c r="K113" s="10" t="n">
        <v>6780</v>
      </c>
      <c r="L113" s="10" t="n">
        <v>435</v>
      </c>
      <c r="M113" s="8" t="n"/>
      <c r="N113" s="8" t="inlineStr">
        <is>
          <t>Short video (&lt;60s)</t>
        </is>
      </c>
      <c r="O113" s="8" t="n"/>
      <c r="P113" s="8" t="n"/>
      <c r="Q113" s="8" t="n"/>
      <c r="R113" s="8" t="n"/>
      <c r="S113" s="8" t="n"/>
      <c r="T113" s="8" t="n"/>
      <c r="U113" s="8" t="n"/>
      <c r="V113" s="8" t="n"/>
      <c r="W113" s="8" t="n"/>
      <c r="X113" s="8" t="n"/>
      <c r="Y113" s="8" t="n"/>
      <c r="Z113" s="8" t="n"/>
      <c r="AA113" s="8" t="n"/>
      <c r="AB113" s="8" t="n"/>
      <c r="AC113" s="8" t="n"/>
      <c r="AD113" s="8" t="n"/>
      <c r="AE113" s="10">
        <f>SUM(O113:V113)</f>
        <v/>
      </c>
      <c r="AF113" s="10">
        <f>SUM(W113:AC113)</f>
        <v/>
      </c>
      <c r="AG113" s="10">
        <f>SUM(O113:AD113)</f>
        <v/>
      </c>
      <c r="AH113" s="8">
        <f>IF(AG113="","",IF(AG113&lt;=26,"Very Poor",IF(AG113&lt;=38,"Poor",IF(AG113&lt;=50,"Fair",IF(AG113&lt;=62,"Good","Excellent")))))</f>
        <v/>
      </c>
      <c r="AI113" s="8" t="n"/>
      <c r="AJ113" s="8" t="n"/>
      <c r="AK113" s="8" t="n"/>
      <c r="AL113" s="8" t="n"/>
      <c r="AM113" s="10">
        <f>COUNTIF(AI113:AL113,"Y")</f>
        <v/>
      </c>
      <c r="AN113" s="8" t="n"/>
    </row>
    <row r="114">
      <c r="A114" s="8" t="inlineStr">
        <is>
          <t>TT-13</t>
        </is>
      </c>
      <c r="B114" s="8" t="inlineStr">
        <is>
          <t>TikTok</t>
        </is>
      </c>
      <c r="C114" s="8" t="inlineStr">
        <is>
          <t>best exercises to lose weight</t>
        </is>
      </c>
      <c r="D114" s="8" t="inlineStr">
        <is>
          <t>https://www.tiktok.com/@tallest.ezemba/video/7607542745942576405</t>
        </is>
      </c>
      <c r="E114" s="8" t="inlineStr">
        <is>
          <t>Simple Beginner’s Abs Homeworkout. #exercise #homeworkout #viral #fitness</t>
        </is>
      </c>
      <c r="F114" s="8" t="inlineStr">
        <is>
          <t>Tallest  Ezemba</t>
        </is>
      </c>
      <c r="G114" s="8" t="inlineStr">
        <is>
          <t>"FITNESS MODEL</t>
        </is>
      </c>
      <c r="H114" s="9" t="inlineStr">
        <is>
          <t>VIRTUAL PERSONAL TRAINER</t>
        </is>
      </c>
      <c r="I114" s="10" t="n"/>
      <c r="J114" s="10" t="n"/>
      <c r="K114" s="10" t="n">
        <v>1400000</v>
      </c>
      <c r="L114" s="10" t="n">
        <v>33700</v>
      </c>
      <c r="M114" s="8" t="n"/>
      <c r="N114" s="8" t="inlineStr">
        <is>
          <t>24900</t>
        </is>
      </c>
      <c r="O114" s="8" t="n"/>
      <c r="P114" s="8" t="n"/>
      <c r="Q114" s="8" t="n"/>
      <c r="R114" s="8" t="n"/>
      <c r="S114" s="8" t="n"/>
      <c r="T114" s="8" t="n"/>
      <c r="U114" s="8" t="n"/>
      <c r="V114" s="8" t="n"/>
      <c r="W114" s="8" t="n"/>
      <c r="X114" s="8" t="n"/>
      <c r="Y114" s="8" t="n"/>
      <c r="Z114" s="8" t="n"/>
      <c r="AA114" s="8" t="n"/>
      <c r="AB114" s="8" t="n"/>
      <c r="AC114" s="8" t="n"/>
      <c r="AD114" s="8" t="n"/>
      <c r="AE114" s="10">
        <f>SUM(O114:V114)</f>
        <v/>
      </c>
      <c r="AF114" s="10">
        <f>SUM(W114:AC114)</f>
        <v/>
      </c>
      <c r="AG114" s="10">
        <f>SUM(O114:AD114)</f>
        <v/>
      </c>
      <c r="AH114" s="8">
        <f>IF(AG114="","",IF(AG114&lt;=26,"Very Poor",IF(AG114&lt;=38,"Poor",IF(AG114&lt;=50,"Fair",IF(AG114&lt;=62,"Good","Excellent")))))</f>
        <v/>
      </c>
      <c r="AI114" s="8" t="n"/>
      <c r="AJ114" s="8" t="n"/>
      <c r="AK114" s="8" t="n"/>
      <c r="AL114" s="8" t="n"/>
      <c r="AM114" s="10">
        <f>COUNTIF(AI114:AL114,"Y")</f>
        <v/>
      </c>
      <c r="AN114" s="8" t="n"/>
    </row>
    <row r="115">
      <c r="A115" s="8" t="inlineStr">
        <is>
          <t>TT-14</t>
        </is>
      </c>
      <c r="B115" s="8" t="inlineStr">
        <is>
          <t>TikTok</t>
        </is>
      </c>
      <c r="C115" s="8" t="inlineStr">
        <is>
          <t>best exercises to lose weight</t>
        </is>
      </c>
      <c r="D115" s="8" t="inlineStr">
        <is>
          <t>https://www.tiktok.com/@drbergofficial/video/7537808565814185247</t>
        </is>
      </c>
      <c r="E115" s="8" t="inlineStr">
        <is>
          <t>This is the BEST exercise for a flat stomach! #drericberg #weightloss #stomach #healthtips</t>
        </is>
      </c>
      <c r="F115" s="8" t="inlineStr">
        <is>
          <t>Dr. Eric Berg</t>
        </is>
      </c>
      <c r="G115" s="8" t="inlineStr">
        <is>
          <t>Official Account Creator of the Healthy Keto™ movement 14 mil subs on YouTube</t>
        </is>
      </c>
      <c r="H115" s="9" t="inlineStr">
        <is>
          <t>2025-08-12</t>
        </is>
      </c>
      <c r="I115" s="10" t="n">
        <v>129500</v>
      </c>
      <c r="J115" s="10" t="n">
        <v>4869</v>
      </c>
      <c r="K115" s="10" t="n">
        <v>584</v>
      </c>
      <c r="L115" s="10" t="n">
        <v>68</v>
      </c>
      <c r="M115" s="8" t="n"/>
      <c r="N115" s="8" t="inlineStr">
        <is>
          <t>Short video (&lt;60s)</t>
        </is>
      </c>
      <c r="O115" s="8" t="n"/>
      <c r="P115" s="8" t="n"/>
      <c r="Q115" s="8" t="n"/>
      <c r="R115" s="8" t="n"/>
      <c r="S115" s="8" t="n"/>
      <c r="T115" s="8" t="n"/>
      <c r="U115" s="8" t="n"/>
      <c r="V115" s="8" t="n"/>
      <c r="W115" s="8" t="n"/>
      <c r="X115" s="8" t="n"/>
      <c r="Y115" s="8" t="n"/>
      <c r="Z115" s="8" t="n"/>
      <c r="AA115" s="8" t="n"/>
      <c r="AB115" s="8" t="n"/>
      <c r="AC115" s="8" t="n"/>
      <c r="AD115" s="8" t="n"/>
      <c r="AE115" s="10">
        <f>SUM(O115:V115)</f>
        <v/>
      </c>
      <c r="AF115" s="10">
        <f>SUM(W115:AC115)</f>
        <v/>
      </c>
      <c r="AG115" s="10">
        <f>SUM(O115:AD115)</f>
        <v/>
      </c>
      <c r="AH115" s="8">
        <f>IF(AG115="","",IF(AG115&lt;=26,"Very Poor",IF(AG115&lt;=38,"Poor",IF(AG115&lt;=50,"Fair",IF(AG115&lt;=62,"Good","Excellent")))))</f>
        <v/>
      </c>
      <c r="AI115" s="8" t="n"/>
      <c r="AJ115" s="8" t="n"/>
      <c r="AK115" s="8" t="n"/>
      <c r="AL115" s="8" t="n"/>
      <c r="AM115" s="10">
        <f>COUNTIF(AI115:AL115,"Y")</f>
        <v/>
      </c>
      <c r="AN115" s="8" t="n"/>
    </row>
    <row r="116">
      <c r="A116" s="8" t="inlineStr">
        <is>
          <t>TT-15</t>
        </is>
      </c>
      <c r="B116" s="8" t="inlineStr">
        <is>
          <t>TikTok</t>
        </is>
      </c>
      <c r="C116" s="8" t="inlineStr">
        <is>
          <t>best exercises to lose weight</t>
        </is>
      </c>
      <c r="D116" s="8" t="inlineStr">
        <is>
          <t>https://www.tiktok.com/@raw.wisdom/video/7565606266635128086</t>
        </is>
      </c>
      <c r="E116" s="8" t="inlineStr">
        <is>
          <t>No Running. No Dieting. Just Results.#foryou #viralvideos #exercises #Posture #workout #slim #core #belly #gym #gymmotivation #ladiesfitness #fitness #waist #weightloss #flatbellyworkout #backpain #back #shoulderworkout #shoulder #pain</t>
        </is>
      </c>
      <c r="F116" s="8" t="inlineStr">
        <is>
          <t>Raw Wisdom</t>
        </is>
      </c>
      <c r="G116" s="8" t="inlineStr">
        <is>
          <t>Clarity. Drive. Purpose. Daily content to level up your mindset.</t>
        </is>
      </c>
      <c r="H116" s="9" t="inlineStr">
        <is>
          <t>2025-10-26</t>
        </is>
      </c>
      <c r="I116" s="10" t="n">
        <v>714000</v>
      </c>
      <c r="J116" s="10" t="n">
        <v>31600</v>
      </c>
      <c r="K116" s="10" t="n">
        <v>2139</v>
      </c>
      <c r="L116" s="10" t="n">
        <v>278</v>
      </c>
      <c r="M116" s="8" t="n"/>
      <c r="N116" s="8" t="inlineStr">
        <is>
          <t>Short video (&lt;60s)</t>
        </is>
      </c>
      <c r="O116" s="8" t="n"/>
      <c r="P116" s="8" t="n"/>
      <c r="Q116" s="8" t="n"/>
      <c r="R116" s="8" t="n"/>
      <c r="S116" s="8" t="n"/>
      <c r="T116" s="8" t="n"/>
      <c r="U116" s="8" t="n"/>
      <c r="V116" s="8" t="n"/>
      <c r="W116" s="8" t="n"/>
      <c r="X116" s="8" t="n"/>
      <c r="Y116" s="8" t="n"/>
      <c r="Z116" s="8" t="n"/>
      <c r="AA116" s="8" t="n"/>
      <c r="AB116" s="8" t="n"/>
      <c r="AC116" s="8" t="n"/>
      <c r="AD116" s="8" t="n"/>
      <c r="AE116" s="10">
        <f>SUM(O116:V116)</f>
        <v/>
      </c>
      <c r="AF116" s="10">
        <f>SUM(W116:AC116)</f>
        <v/>
      </c>
      <c r="AG116" s="10">
        <f>SUM(O116:AD116)</f>
        <v/>
      </c>
      <c r="AH116" s="8">
        <f>IF(AG116="","",IF(AG116&lt;=26,"Very Poor",IF(AG116&lt;=38,"Poor",IF(AG116&lt;=50,"Fair",IF(AG116&lt;=62,"Good","Excellent")))))</f>
        <v/>
      </c>
      <c r="AI116" s="8" t="n"/>
      <c r="AJ116" s="8" t="n"/>
      <c r="AK116" s="8" t="n"/>
      <c r="AL116" s="8" t="n"/>
      <c r="AM116" s="10">
        <f>COUNTIF(AI116:AL116,"Y")</f>
        <v/>
      </c>
      <c r="AN116" s="8" t="n"/>
    </row>
    <row r="117">
      <c r="A117" s="8" t="inlineStr">
        <is>
          <t>TT-16</t>
        </is>
      </c>
      <c r="B117" s="8" t="inlineStr">
        <is>
          <t>TikTok</t>
        </is>
      </c>
      <c r="C117" s="8" t="inlineStr">
        <is>
          <t>best exercises to lose weight</t>
        </is>
      </c>
      <c r="D117" s="8" t="inlineStr">
        <is>
          <t>https://www.tiktok.com/@betteryoubettersociety/video/7605725193939619086</t>
        </is>
      </c>
      <c r="E117" s="8" t="inlineStr">
        <is>
          <t>Comment ‘DUMBBELL’ for my full dumbbell workout program! 💪  If you’re tired of overcomplicated workout plans and just want something simple that works – this is it.  You don’t need fancy machines. You don’t need to spend hours in the  gym. Just dumbbells and 4 days a week.  Here’s the breakdown:  Day 1: Upper Body  * Dumbbell Bench Press * Dumbbell Rows * Dumbbell Shoulder Press * Dumbbell Curls  Day 2: Lower Body  * Goblet Squats * Dumbbell Romanian Deadlifts * Dumbbell Lunges * Dumbbell Calf</t>
        </is>
      </c>
      <c r="F117" s="8" t="inlineStr">
        <is>
          <t>Better You Better Society</t>
        </is>
      </c>
      <c r="G117" s="8" t="inlineStr">
        <is>
          <t>"Lose fat &amp; build muscle. Dm me ""COACH"" for 1 on 1 coaching."</t>
        </is>
      </c>
      <c r="H117" s="9" t="inlineStr">
        <is>
          <t>2026-02-11</t>
        </is>
      </c>
      <c r="I117" s="10" t="n">
        <v>499400</v>
      </c>
      <c r="J117" s="10" t="n">
        <v>19100</v>
      </c>
      <c r="K117" s="10" t="n">
        <v>3634</v>
      </c>
      <c r="L117" s="10" t="n">
        <v>1215</v>
      </c>
      <c r="M117" s="8" t="n"/>
      <c r="N117" s="8" t="inlineStr">
        <is>
          <t>Short video (&lt;60s)</t>
        </is>
      </c>
      <c r="O117" s="8" t="n"/>
      <c r="P117" s="8" t="n"/>
      <c r="Q117" s="8" t="n"/>
      <c r="R117" s="8" t="n"/>
      <c r="S117" s="8" t="n"/>
      <c r="T117" s="8" t="n"/>
      <c r="U117" s="8" t="n"/>
      <c r="V117" s="8" t="n"/>
      <c r="W117" s="8" t="n"/>
      <c r="X117" s="8" t="n"/>
      <c r="Y117" s="8" t="n"/>
      <c r="Z117" s="8" t="n"/>
      <c r="AA117" s="8" t="n"/>
      <c r="AB117" s="8" t="n"/>
      <c r="AC117" s="8" t="n"/>
      <c r="AD117" s="8" t="n"/>
      <c r="AE117" s="10">
        <f>SUM(O117:V117)</f>
        <v/>
      </c>
      <c r="AF117" s="10">
        <f>SUM(W117:AC117)</f>
        <v/>
      </c>
      <c r="AG117" s="10">
        <f>SUM(O117:AD117)</f>
        <v/>
      </c>
      <c r="AH117" s="8">
        <f>IF(AG117="","",IF(AG117&lt;=26,"Very Poor",IF(AG117&lt;=38,"Poor",IF(AG117&lt;=50,"Fair",IF(AG117&lt;=62,"Good","Excellent")))))</f>
        <v/>
      </c>
      <c r="AI117" s="8" t="n"/>
      <c r="AJ117" s="8" t="n"/>
      <c r="AK117" s="8" t="n"/>
      <c r="AL117" s="8" t="n"/>
      <c r="AM117" s="10">
        <f>COUNTIF(AI117:AL117,"Y")</f>
        <v/>
      </c>
      <c r="AN117" s="8" t="n"/>
    </row>
    <row r="118">
      <c r="A118" s="8" t="inlineStr">
        <is>
          <t>TT-17</t>
        </is>
      </c>
      <c r="B118" s="8" t="inlineStr">
        <is>
          <t>TikTok</t>
        </is>
      </c>
      <c r="C118" s="8" t="inlineStr">
        <is>
          <t>best exercises to lose weight</t>
        </is>
      </c>
      <c r="D118" s="8" t="inlineStr">
        <is>
          <t>https://www.tiktok.com/@kayfitness__/video/7571199106337475862</t>
        </is>
      </c>
      <c r="E118" s="8" t="inlineStr">
        <is>
          <t>"75 lbs down — no gym</t>
        </is>
      </c>
      <c r="F118" s="8" t="inlineStr">
        <is>
          <t>no excuses  Workouts you can do at home.  No equipment</t>
        </is>
      </c>
      <c r="G118" s="8" t="inlineStr">
        <is>
          <t>just consistency 🖤   Full workout routine linked in bio x   #HomeWorkout  #fatloss #WeightLossJourney #nogymnoproblem #fullbodyworkouts"</t>
        </is>
      </c>
      <c r="H118" s="9" t="inlineStr">
        <is>
          <t>WeightLoss|KayFitness</t>
        </is>
      </c>
      <c r="I118" s="10" t="n"/>
      <c r="J118" s="10" t="n"/>
      <c r="K118" s="10" t="n">
        <v>310800</v>
      </c>
      <c r="L118" s="10" t="n">
        <v>16400</v>
      </c>
      <c r="M118" s="8" t="n"/>
      <c r="N118" s="8" t="inlineStr">
        <is>
          <t>850</t>
        </is>
      </c>
      <c r="O118" s="8" t="n"/>
      <c r="P118" s="8" t="n"/>
      <c r="Q118" s="8" t="n"/>
      <c r="R118" s="8" t="n"/>
      <c r="S118" s="8" t="n"/>
      <c r="T118" s="8" t="n"/>
      <c r="U118" s="8" t="n"/>
      <c r="V118" s="8" t="n"/>
      <c r="W118" s="8" t="n"/>
      <c r="X118" s="8" t="n"/>
      <c r="Y118" s="8" t="n"/>
      <c r="Z118" s="8" t="n"/>
      <c r="AA118" s="8" t="n"/>
      <c r="AB118" s="8" t="n"/>
      <c r="AC118" s="8" t="n"/>
      <c r="AD118" s="8" t="n"/>
      <c r="AE118" s="10">
        <f>SUM(O118:V118)</f>
        <v/>
      </c>
      <c r="AF118" s="10">
        <f>SUM(W118:AC118)</f>
        <v/>
      </c>
      <c r="AG118" s="10">
        <f>SUM(O118:AD118)</f>
        <v/>
      </c>
      <c r="AH118" s="8">
        <f>IF(AG118="","",IF(AG118&lt;=26,"Very Poor",IF(AG118&lt;=38,"Poor",IF(AG118&lt;=50,"Fair",IF(AG118&lt;=62,"Good","Excellent")))))</f>
        <v/>
      </c>
      <c r="AI118" s="8" t="n"/>
      <c r="AJ118" s="8" t="n"/>
      <c r="AK118" s="8" t="n"/>
      <c r="AL118" s="8" t="n"/>
      <c r="AM118" s="10">
        <f>COUNTIF(AI118:AL118,"Y")</f>
        <v/>
      </c>
      <c r="AN118" s="8" t="n"/>
    </row>
    <row r="119">
      <c r="A119" s="8" t="inlineStr">
        <is>
          <t>TT-18</t>
        </is>
      </c>
      <c r="B119" s="8" t="inlineStr">
        <is>
          <t>TikTok</t>
        </is>
      </c>
      <c r="C119" s="8" t="inlineStr">
        <is>
          <t>best exercises to lose weight</t>
        </is>
      </c>
      <c r="D119" s="8" t="inlineStr">
        <is>
          <t>https://www.tiktok.com/@mindbodyjaime/video/7584133402723454239</t>
        </is>
      </c>
      <c r="E119" s="8" t="inlineStr">
        <is>
          <t>"Under 15 minutes. At home. No excuses. These are the exact kinds of workouts I lean on during my 130 lb weight loss. Quick</t>
        </is>
      </c>
      <c r="F119" s="8" t="inlineStr">
        <is>
          <t>efficient</t>
        </is>
      </c>
      <c r="G119" s="8" t="inlineStr">
        <is>
          <t>and they absolutely challenge you. Save this for the days you think you don’t have time and follow for more realistic workouts that actually work.  #midsizemom #realisticweightloss #athomeworkouts #athomeworkout #homegymworkout"</t>
        </is>
      </c>
      <c r="H119" s="9" t="inlineStr">
        <is>
          <t>Jaime | Midsize Style &amp; Health</t>
        </is>
      </c>
      <c r="I119" s="10" t="n"/>
      <c r="J119" s="10" t="n"/>
      <c r="K119" s="10" t="n"/>
      <c r="L119" s="10" t="n">
        <v>167900</v>
      </c>
      <c r="M119" s="8" t="n"/>
      <c r="N119" s="8" t="inlineStr">
        <is>
          <t>11200</t>
        </is>
      </c>
      <c r="O119" s="8" t="n"/>
      <c r="P119" s="8" t="n"/>
      <c r="Q119" s="8" t="n"/>
      <c r="R119" s="8" t="n"/>
      <c r="S119" s="8" t="n"/>
      <c r="T119" s="8" t="n"/>
      <c r="U119" s="8" t="n"/>
      <c r="V119" s="8" t="n"/>
      <c r="W119" s="8" t="n"/>
      <c r="X119" s="8" t="n"/>
      <c r="Y119" s="8" t="n"/>
      <c r="Z119" s="8" t="n"/>
      <c r="AA119" s="8" t="n"/>
      <c r="AB119" s="8" t="n"/>
      <c r="AC119" s="8" t="n"/>
      <c r="AD119" s="8" t="n"/>
      <c r="AE119" s="10">
        <f>SUM(O119:V119)</f>
        <v/>
      </c>
      <c r="AF119" s="10">
        <f>SUM(W119:AC119)</f>
        <v/>
      </c>
      <c r="AG119" s="10">
        <f>SUM(O119:AD119)</f>
        <v/>
      </c>
      <c r="AH119" s="8">
        <f>IF(AG119="","",IF(AG119&lt;=26,"Very Poor",IF(AG119&lt;=38,"Poor",IF(AG119&lt;=50,"Fair",IF(AG119&lt;=62,"Good","Excellent")))))</f>
        <v/>
      </c>
      <c r="AI119" s="8" t="n"/>
      <c r="AJ119" s="8" t="n"/>
      <c r="AK119" s="8" t="n"/>
      <c r="AL119" s="8" t="n"/>
      <c r="AM119" s="10">
        <f>COUNTIF(AI119:AL119,"Y")</f>
        <v/>
      </c>
      <c r="AN119" s="8" t="n"/>
    </row>
    <row r="120">
      <c r="A120" s="8" t="inlineStr">
        <is>
          <t>TT-19</t>
        </is>
      </c>
      <c r="B120" s="8" t="inlineStr">
        <is>
          <t>TikTok</t>
        </is>
      </c>
      <c r="C120" s="8" t="inlineStr">
        <is>
          <t>best exercises to lose weight</t>
        </is>
      </c>
      <c r="D120" s="8" t="inlineStr">
        <is>
          <t>https://www.tiktok.com/@mackenziewells.fit/video/7589756711200656695</t>
        </is>
      </c>
      <c r="E120" s="8" t="inlineStr">
        <is>
          <t>Try a free week of my New Years Fitness Challenge! 🔗 on my profile!   #fullbodyworkout #fitness #weightloss #exercise #homeworkout</t>
        </is>
      </c>
      <c r="F120" s="8" t="inlineStr">
        <is>
          <t>Mackenzie | Join my app!</t>
        </is>
      </c>
      <c r="G120" s="8" t="inlineStr">
        <is>
          <t>"👙 get your dream body</t>
        </is>
      </c>
      <c r="H120" s="9" t="inlineStr">
        <is>
          <t>fast &amp; keep it ✨ all women</t>
        </is>
      </c>
      <c r="I120" s="10" t="n"/>
      <c r="J120" s="10" t="n"/>
      <c r="K120" s="10" t="n">
        <v>119100</v>
      </c>
      <c r="L120" s="10" t="n">
        <v>5125</v>
      </c>
      <c r="M120" s="8" t="n"/>
      <c r="N120" s="8" t="inlineStr">
        <is>
          <t>1341</t>
        </is>
      </c>
      <c r="O120" s="8" t="n"/>
      <c r="P120" s="8" t="n"/>
      <c r="Q120" s="8" t="n"/>
      <c r="R120" s="8" t="n"/>
      <c r="S120" s="8" t="n"/>
      <c r="T120" s="8" t="n"/>
      <c r="U120" s="8" t="n"/>
      <c r="V120" s="8" t="n"/>
      <c r="W120" s="8" t="n"/>
      <c r="X120" s="8" t="n"/>
      <c r="Y120" s="8" t="n"/>
      <c r="Z120" s="8" t="n"/>
      <c r="AA120" s="8" t="n"/>
      <c r="AB120" s="8" t="n"/>
      <c r="AC120" s="8" t="n"/>
      <c r="AD120" s="8" t="n"/>
      <c r="AE120" s="10">
        <f>SUM(O120:V120)</f>
        <v/>
      </c>
      <c r="AF120" s="10">
        <f>SUM(W120:AC120)</f>
        <v/>
      </c>
      <c r="AG120" s="10">
        <f>SUM(O120:AD120)</f>
        <v/>
      </c>
      <c r="AH120" s="8">
        <f>IF(AG120="","",IF(AG120&lt;=26,"Very Poor",IF(AG120&lt;=38,"Poor",IF(AG120&lt;=50,"Fair",IF(AG120&lt;=62,"Good","Excellent")))))</f>
        <v/>
      </c>
      <c r="AI120" s="8" t="n"/>
      <c r="AJ120" s="8" t="n"/>
      <c r="AK120" s="8" t="n"/>
      <c r="AL120" s="8" t="n"/>
      <c r="AM120" s="10">
        <f>COUNTIF(AI120:AL120,"Y")</f>
        <v/>
      </c>
      <c r="AN120" s="8" t="n"/>
    </row>
    <row r="121">
      <c r="A121" s="8" t="inlineStr">
        <is>
          <t>TT-20</t>
        </is>
      </c>
      <c r="B121" s="8" t="inlineStr">
        <is>
          <t>TikTok</t>
        </is>
      </c>
      <c r="C121" s="8" t="inlineStr">
        <is>
          <t>best exercises to lose weight</t>
        </is>
      </c>
      <c r="D121" s="8" t="inlineStr">
        <is>
          <t>https://www.tiktok.com/@drbergofficial/video/7603506375708216607</t>
        </is>
      </c>
      <c r="E121" s="8" t="inlineStr">
        <is>
          <t>This is the #1 best exercise for a flat stomach! How often do you do it?  Visit the link in my bio to download my free daily routine checklist that helps me feel 18 at age 60!  #drericberg #crunches #situps</t>
        </is>
      </c>
      <c r="F121" s="8" t="inlineStr">
        <is>
          <t>Dr. Eric Berg</t>
        </is>
      </c>
      <c r="G121" s="8" t="inlineStr">
        <is>
          <t>Official Account Creator of the Healthy Keto™ movement 14 mil subs on YouTube</t>
        </is>
      </c>
      <c r="H121" s="9" t="inlineStr">
        <is>
          <t>2026-02-06</t>
        </is>
      </c>
      <c r="I121" s="10" t="n">
        <v>958100</v>
      </c>
      <c r="J121" s="10" t="n">
        <v>35100</v>
      </c>
      <c r="K121" s="10" t="n">
        <v>3215</v>
      </c>
      <c r="L121" s="10" t="n">
        <v>132</v>
      </c>
      <c r="M121" s="8" t="n"/>
      <c r="N121" s="8" t="inlineStr">
        <is>
          <t>Short video (&lt;60s)</t>
        </is>
      </c>
      <c r="O121" s="8" t="n"/>
      <c r="P121" s="8" t="n"/>
      <c r="Q121" s="8" t="n"/>
      <c r="R121" s="8" t="n"/>
      <c r="S121" s="8" t="n"/>
      <c r="T121" s="8" t="n"/>
      <c r="U121" s="8" t="n"/>
      <c r="V121" s="8" t="n"/>
      <c r="W121" s="8" t="n"/>
      <c r="X121" s="8" t="n"/>
      <c r="Y121" s="8" t="n"/>
      <c r="Z121" s="8" t="n"/>
      <c r="AA121" s="8" t="n"/>
      <c r="AB121" s="8" t="n"/>
      <c r="AC121" s="8" t="n"/>
      <c r="AD121" s="8" t="n"/>
      <c r="AE121" s="10">
        <f>SUM(O121:V121)</f>
        <v/>
      </c>
      <c r="AF121" s="10">
        <f>SUM(W121:AC121)</f>
        <v/>
      </c>
      <c r="AG121" s="10">
        <f>SUM(O121:AD121)</f>
        <v/>
      </c>
      <c r="AH121" s="8">
        <f>IF(AG121="","",IF(AG121&lt;=26,"Very Poor",IF(AG121&lt;=38,"Poor",IF(AG121&lt;=50,"Fair",IF(AG121&lt;=62,"Good","Excellent")))))</f>
        <v/>
      </c>
      <c r="AI121" s="8" t="n"/>
      <c r="AJ121" s="8" t="n"/>
      <c r="AK121" s="8" t="n"/>
      <c r="AL121" s="8" t="n"/>
      <c r="AM121" s="10">
        <f>COUNTIF(AI121:AL121,"Y")</f>
        <v/>
      </c>
      <c r="AN121" s="8" t="n"/>
    </row>
    <row r="122">
      <c r="A122" s="8" t="inlineStr">
        <is>
          <t>TT-21</t>
        </is>
      </c>
      <c r="B122" s="8" t="inlineStr">
        <is>
          <t>TikTok</t>
        </is>
      </c>
      <c r="C122" s="8" t="inlineStr">
        <is>
          <t>strength training for beginners</t>
        </is>
      </c>
      <c r="D122" s="8" t="inlineStr">
        <is>
          <t>https://www.tiktok.com/@hayleymadiganfitness/video/7557453418269347094</t>
        </is>
      </c>
      <c r="E122" s="8" t="inlineStr">
        <is>
          <t>"Beginners Upper 💪🏼  My Workout App: @Grow Girl 💛 Outfit: @Oner Active Pastel Yellow EnhanceLift Halter</t>
        </is>
      </c>
      <c r="F122" s="8" t="inlineStr">
        <is>
          <t>shorts and Joggers - Use C0de: HAYLEY to save 🫶🏻 Sneakers: @R.A.D® One V2’s in Grape 😮‍💨 #upperbody #shoulders #upperbodyworkout #weighttrainingforwomen #biceps"</t>
        </is>
      </c>
      <c r="G122" s="8" t="inlineStr">
        <is>
          <t>Hayley Madigan</t>
        </is>
      </c>
      <c r="H122" s="9" t="inlineStr">
        <is>
          <t>Founder @Grow Girl App @Oner Active Move Ambassador Code: HAYLEY My Workouts👇🏼</t>
        </is>
      </c>
      <c r="I122" s="10" t="n"/>
      <c r="J122" s="10" t="n">
        <v>968200</v>
      </c>
      <c r="K122" s="10" t="n">
        <v>42500</v>
      </c>
      <c r="L122" s="10" t="n">
        <v>6260</v>
      </c>
      <c r="M122" s="8" t="n"/>
      <c r="N122" s="8" t="inlineStr">
        <is>
          <t>247</t>
        </is>
      </c>
      <c r="O122" s="8" t="n"/>
      <c r="P122" s="8" t="n"/>
      <c r="Q122" s="8" t="n"/>
      <c r="R122" s="8" t="n"/>
      <c r="S122" s="8" t="n"/>
      <c r="T122" s="8" t="n"/>
      <c r="U122" s="8" t="n"/>
      <c r="V122" s="8" t="n"/>
      <c r="W122" s="8" t="n"/>
      <c r="X122" s="8" t="n"/>
      <c r="Y122" s="8" t="n"/>
      <c r="Z122" s="8" t="n"/>
      <c r="AA122" s="8" t="n"/>
      <c r="AB122" s="8" t="n"/>
      <c r="AC122" s="8" t="n"/>
      <c r="AD122" s="8" t="n"/>
      <c r="AE122" s="10">
        <f>SUM(O122:V122)</f>
        <v/>
      </c>
      <c r="AF122" s="10">
        <f>SUM(W122:AC122)</f>
        <v/>
      </c>
      <c r="AG122" s="10">
        <f>SUM(O122:AD122)</f>
        <v/>
      </c>
      <c r="AH122" s="8">
        <f>IF(AG122="","",IF(AG122&lt;=26,"Very Poor",IF(AG122&lt;=38,"Poor",IF(AG122&lt;=50,"Fair",IF(AG122&lt;=62,"Good","Excellent")))))</f>
        <v/>
      </c>
      <c r="AI122" s="8" t="n"/>
      <c r="AJ122" s="8" t="n"/>
      <c r="AK122" s="8" t="n"/>
      <c r="AL122" s="8" t="n"/>
      <c r="AM122" s="10">
        <f>COUNTIF(AI122:AL122,"Y")</f>
        <v/>
      </c>
      <c r="AN122" s="8" t="n"/>
    </row>
    <row r="123">
      <c r="A123" s="8" t="inlineStr">
        <is>
          <t>TT-22</t>
        </is>
      </c>
      <c r="B123" s="8" t="inlineStr">
        <is>
          <t>TikTok</t>
        </is>
      </c>
      <c r="C123" s="8" t="inlineStr">
        <is>
          <t>strength training for beginners</t>
        </is>
      </c>
      <c r="D123" s="8" t="inlineStr">
        <is>
          <t>https://www.tiktok.com/@matt_kitson_/video/7610553454238600450</t>
        </is>
      </c>
      <c r="E123" s="8" t="inlineStr">
        <is>
          <t>HEAVY DUTY TRAINING FOR BEGINNERS 🧱 #mikementzer #gymtok #fyp #bodybuilding #strength</t>
        </is>
      </c>
      <c r="F123" s="8" t="inlineStr">
        <is>
          <t>Matt Kitson</t>
        </is>
      </c>
      <c r="G123" s="8" t="inlineStr">
        <is>
          <t>"Do not be conformed to this world</t>
        </is>
      </c>
      <c r="H123" s="9" t="inlineStr">
        <is>
          <t>but be transformed by the renewal of your mind. Romans 12:2 ✝️"</t>
        </is>
      </c>
      <c r="I123" s="10" t="n"/>
      <c r="J123" s="10" t="n">
        <v>227900</v>
      </c>
      <c r="K123" s="10" t="n">
        <v>14400</v>
      </c>
      <c r="L123" s="10" t="n">
        <v>2132</v>
      </c>
      <c r="M123" s="8" t="n"/>
      <c r="N123" s="8" t="inlineStr">
        <is>
          <t>176</t>
        </is>
      </c>
      <c r="O123" s="8" t="n"/>
      <c r="P123" s="8" t="n"/>
      <c r="Q123" s="8" t="n"/>
      <c r="R123" s="8" t="n"/>
      <c r="S123" s="8" t="n"/>
      <c r="T123" s="8" t="n"/>
      <c r="U123" s="8" t="n"/>
      <c r="V123" s="8" t="n"/>
      <c r="W123" s="8" t="n"/>
      <c r="X123" s="8" t="n"/>
      <c r="Y123" s="8" t="n"/>
      <c r="Z123" s="8" t="n"/>
      <c r="AA123" s="8" t="n"/>
      <c r="AB123" s="8" t="n"/>
      <c r="AC123" s="8" t="n"/>
      <c r="AD123" s="8" t="n"/>
      <c r="AE123" s="10">
        <f>SUM(O123:V123)</f>
        <v/>
      </c>
      <c r="AF123" s="10">
        <f>SUM(W123:AC123)</f>
        <v/>
      </c>
      <c r="AG123" s="10">
        <f>SUM(O123:AD123)</f>
        <v/>
      </c>
      <c r="AH123" s="8">
        <f>IF(AG123="","",IF(AG123&lt;=26,"Very Poor",IF(AG123&lt;=38,"Poor",IF(AG123&lt;=50,"Fair",IF(AG123&lt;=62,"Good","Excellent")))))</f>
        <v/>
      </c>
      <c r="AI123" s="8" t="n"/>
      <c r="AJ123" s="8" t="n"/>
      <c r="AK123" s="8" t="n"/>
      <c r="AL123" s="8" t="n"/>
      <c r="AM123" s="10">
        <f>COUNTIF(AI123:AL123,"Y")</f>
        <v/>
      </c>
      <c r="AN123" s="8" t="n"/>
    </row>
    <row r="124">
      <c r="A124" s="8" t="inlineStr">
        <is>
          <t>TT-23</t>
        </is>
      </c>
      <c r="B124" s="8" t="inlineStr">
        <is>
          <t>TikTok</t>
        </is>
      </c>
      <c r="C124" s="8" t="inlineStr">
        <is>
          <t>strength training for beginners</t>
        </is>
      </c>
      <c r="D124" s="8" t="inlineStr">
        <is>
          <t>https://www.tiktok.com/@_lucyhealy/video/7608652305558179074</t>
        </is>
      </c>
      <c r="E124" s="8" t="inlineStr">
        <is>
          <t>"If you’re not sure how to start your calisthenics journey</t>
        </is>
      </c>
      <c r="F124" s="8" t="inlineStr">
        <is>
          <t>this workout can be done anywhere and will help build your strength! Save for your next workout 🤸🏼‍♀️  #calisthenicsjourney #calisthenicsgirls #calisthenicsbeginner"</t>
        </is>
      </c>
      <c r="G124" s="8" t="inlineStr">
        <is>
          <t>Lucy Healy</t>
        </is>
      </c>
      <c r="H124" s="9" t="inlineStr">
        <is>
          <t>probably upside down🤸🏼‍♀️ learn calisthenics with me🫶🏼 @Gymshark @GORNATION LUCYH10</t>
        </is>
      </c>
      <c r="I124" s="10" t="n"/>
      <c r="J124" s="10" t="n">
        <v>242400</v>
      </c>
      <c r="K124" s="10" t="n">
        <v>21500</v>
      </c>
      <c r="L124" s="10" t="n">
        <v>860</v>
      </c>
      <c r="M124" s="8" t="n"/>
      <c r="N124" s="8" t="inlineStr">
        <is>
          <t>34</t>
        </is>
      </c>
      <c r="O124" s="8" t="n"/>
      <c r="P124" s="8" t="n"/>
      <c r="Q124" s="8" t="n"/>
      <c r="R124" s="8" t="n"/>
      <c r="S124" s="8" t="n"/>
      <c r="T124" s="8" t="n"/>
      <c r="U124" s="8" t="n"/>
      <c r="V124" s="8" t="n"/>
      <c r="W124" s="8" t="n"/>
      <c r="X124" s="8" t="n"/>
      <c r="Y124" s="8" t="n"/>
      <c r="Z124" s="8" t="n"/>
      <c r="AA124" s="8" t="n"/>
      <c r="AB124" s="8" t="n"/>
      <c r="AC124" s="8" t="n"/>
      <c r="AD124" s="8" t="n"/>
      <c r="AE124" s="10">
        <f>SUM(O124:V124)</f>
        <v/>
      </c>
      <c r="AF124" s="10">
        <f>SUM(W124:AC124)</f>
        <v/>
      </c>
      <c r="AG124" s="10">
        <f>SUM(O124:AD124)</f>
        <v/>
      </c>
      <c r="AH124" s="8">
        <f>IF(AG124="","",IF(AG124&lt;=26,"Very Poor",IF(AG124&lt;=38,"Poor",IF(AG124&lt;=50,"Fair",IF(AG124&lt;=62,"Good","Excellent")))))</f>
        <v/>
      </c>
      <c r="AI124" s="8" t="n"/>
      <c r="AJ124" s="8" t="n"/>
      <c r="AK124" s="8" t="n"/>
      <c r="AL124" s="8" t="n"/>
      <c r="AM124" s="10">
        <f>COUNTIF(AI124:AL124,"Y")</f>
        <v/>
      </c>
      <c r="AN124" s="8" t="n"/>
    </row>
    <row r="125">
      <c r="A125" s="8" t="inlineStr">
        <is>
          <t>TT-24</t>
        </is>
      </c>
      <c r="B125" s="8" t="inlineStr">
        <is>
          <t>TikTok</t>
        </is>
      </c>
      <c r="C125" s="8" t="inlineStr">
        <is>
          <t>strength training for beginners</t>
        </is>
      </c>
      <c r="D125" s="8" t="inlineStr">
        <is>
          <t>https://www.tiktok.com/@pilatesbysteph/video/7602028837152525589</t>
        </is>
      </c>
      <c r="E125" s="8" t="inlineStr">
        <is>
          <t>"Simple. Strong. Effective - comment BUILD to be sent full workout 🔥  Choose a weight that challenges you by the last few reps.  Wearing new @musclerepublic LUXE pieces</t>
        </is>
      </c>
      <c r="F125" s="8" t="inlineStr">
        <is>
          <t>luxe Olivia bra &amp; luxe contrast booty shorts - use code PILATESBYSTEPH for discount 👗  #pilatesxstrength #pilatesworkout #fitnesschallenge #workoutideas #saveableworkouts"</t>
        </is>
      </c>
      <c r="G125" s="8" t="inlineStr">
        <is>
          <t>pilatesbysteph</t>
        </is>
      </c>
      <c r="H125" s="9" t="inlineStr">
        <is>
          <t>Studio Manager &amp; Head Instructor 🤎 📧 stephvictoria2@gmail.com</t>
        </is>
      </c>
      <c r="I125" s="10" t="n"/>
      <c r="J125" s="10" t="n">
        <v>1987</v>
      </c>
      <c r="K125" s="10" t="n">
        <v>75</v>
      </c>
      <c r="L125" s="10" t="n">
        <v>1</v>
      </c>
      <c r="M125" s="8" t="n"/>
      <c r="N125" s="8" t="inlineStr">
        <is>
          <t>1</t>
        </is>
      </c>
      <c r="O125" s="8" t="n"/>
      <c r="P125" s="8" t="n"/>
      <c r="Q125" s="8" t="n"/>
      <c r="R125" s="8" t="n"/>
      <c r="S125" s="8" t="n"/>
      <c r="T125" s="8" t="n"/>
      <c r="U125" s="8" t="n"/>
      <c r="V125" s="8" t="n"/>
      <c r="W125" s="8" t="n"/>
      <c r="X125" s="8" t="n"/>
      <c r="Y125" s="8" t="n"/>
      <c r="Z125" s="8" t="n"/>
      <c r="AA125" s="8" t="n"/>
      <c r="AB125" s="8" t="n"/>
      <c r="AC125" s="8" t="n"/>
      <c r="AD125" s="8" t="n"/>
      <c r="AE125" s="10">
        <f>SUM(O125:V125)</f>
        <v/>
      </c>
      <c r="AF125" s="10">
        <f>SUM(W125:AC125)</f>
        <v/>
      </c>
      <c r="AG125" s="10">
        <f>SUM(O125:AD125)</f>
        <v/>
      </c>
      <c r="AH125" s="8">
        <f>IF(AG125="","",IF(AG125&lt;=26,"Very Poor",IF(AG125&lt;=38,"Poor",IF(AG125&lt;=50,"Fair",IF(AG125&lt;=62,"Good","Excellent")))))</f>
        <v/>
      </c>
      <c r="AI125" s="8" t="n"/>
      <c r="AJ125" s="8" t="n"/>
      <c r="AK125" s="8" t="n"/>
      <c r="AL125" s="8" t="n"/>
      <c r="AM125" s="10">
        <f>COUNTIF(AI125:AL125,"Y")</f>
        <v/>
      </c>
      <c r="AN125" s="8" t="n"/>
    </row>
    <row r="126">
      <c r="A126" s="8" t="inlineStr">
        <is>
          <t>TT-25</t>
        </is>
      </c>
      <c r="B126" s="8" t="inlineStr">
        <is>
          <t>TikTok</t>
        </is>
      </c>
      <c r="C126" s="8" t="inlineStr">
        <is>
          <t>strength training for beginners</t>
        </is>
      </c>
      <c r="D126" s="8" t="inlineStr">
        <is>
          <t>https://www.tiktok.com/@tonedwithcristina/video/7591672585377598734</t>
        </is>
      </c>
      <c r="E126" s="8" t="inlineStr">
        <is>
          <t>if strength training is one of your 2026 goals I got you   Superset 1: 10 squats  10 shoulder press  Repeat 3x  Superset 2: 12 alternating reverse lunges  10 bicep curls  Repeat 3x  Superset 3: 10 sumo squats  10 overhead tricep extensions  Repeat 3x   Finisher: Plank hold - as long as you can! Repeat 3x  #beginnerworkout #beginnerstrengthtraining #fullbodyworkout #quickworkout</t>
        </is>
      </c>
      <c r="F126" s="8" t="inlineStr">
        <is>
          <t>tonedwithcristina</t>
        </is>
      </c>
      <c r="G126" s="8" t="inlineStr">
        <is>
          <t>"fitness</t>
        </is>
      </c>
      <c r="H126" s="9" t="inlineStr">
        <is>
          <t>food &amp; fun clothes  🥊❤️🍓 tonedwithcristina@gmail.com"</t>
        </is>
      </c>
      <c r="I126" s="10" t="n"/>
      <c r="J126" s="10" t="n">
        <v>345500</v>
      </c>
      <c r="K126" s="10" t="n">
        <v>13000</v>
      </c>
      <c r="L126" s="10" t="n">
        <v>903</v>
      </c>
      <c r="M126" s="8" t="n"/>
      <c r="N126" s="8" t="inlineStr">
        <is>
          <t>41</t>
        </is>
      </c>
      <c r="O126" s="8" t="n"/>
      <c r="P126" s="8" t="n"/>
      <c r="Q126" s="8" t="n"/>
      <c r="R126" s="8" t="n"/>
      <c r="S126" s="8" t="n"/>
      <c r="T126" s="8" t="n"/>
      <c r="U126" s="8" t="n"/>
      <c r="V126" s="8" t="n"/>
      <c r="W126" s="8" t="n"/>
      <c r="X126" s="8" t="n"/>
      <c r="Y126" s="8" t="n"/>
      <c r="Z126" s="8" t="n"/>
      <c r="AA126" s="8" t="n"/>
      <c r="AB126" s="8" t="n"/>
      <c r="AC126" s="8" t="n"/>
      <c r="AD126" s="8" t="n"/>
      <c r="AE126" s="10">
        <f>SUM(O126:V126)</f>
        <v/>
      </c>
      <c r="AF126" s="10">
        <f>SUM(W126:AC126)</f>
        <v/>
      </c>
      <c r="AG126" s="10">
        <f>SUM(O126:AD126)</f>
        <v/>
      </c>
      <c r="AH126" s="8">
        <f>IF(AG126="","",IF(AG126&lt;=26,"Very Poor",IF(AG126&lt;=38,"Poor",IF(AG126&lt;=50,"Fair",IF(AG126&lt;=62,"Good","Excellent")))))</f>
        <v/>
      </c>
      <c r="AI126" s="8" t="n"/>
      <c r="AJ126" s="8" t="n"/>
      <c r="AK126" s="8" t="n"/>
      <c r="AL126" s="8" t="n"/>
      <c r="AM126" s="10">
        <f>COUNTIF(AI126:AL126,"Y")</f>
        <v/>
      </c>
      <c r="AN126" s="8" t="n"/>
    </row>
    <row r="127">
      <c r="A127" s="8" t="inlineStr">
        <is>
          <t>TT-26</t>
        </is>
      </c>
      <c r="B127" s="8" t="inlineStr">
        <is>
          <t>TikTok</t>
        </is>
      </c>
      <c r="C127" s="8" t="inlineStr">
        <is>
          <t>strength training for beginners</t>
        </is>
      </c>
      <c r="D127" s="8" t="inlineStr">
        <is>
          <t>https://www.tiktok.com/@tracysteen/video/7564060635273776391</t>
        </is>
      </c>
      <c r="E127" s="8" t="inlineStr">
        <is>
          <t>"As we age</t>
        </is>
      </c>
      <c r="F127" s="8" t="inlineStr">
        <is>
          <t>lifting weights isn’t optional</t>
        </is>
      </c>
      <c r="G127" s="8" t="inlineStr">
        <is>
          <t>it’s essential! It’s how we fight muscle loss</t>
        </is>
      </c>
      <c r="H127" s="9" t="inlineStr">
        <is>
          <t>boost metabolism</t>
        </is>
      </c>
      <c r="I127" s="10" t="n"/>
      <c r="J127" s="10" t="n"/>
      <c r="K127" s="10" t="n"/>
      <c r="L127" s="10" t="n"/>
      <c r="M127" s="8" t="n"/>
      <c r="N127" s="8" t="inlineStr">
        <is>
          <t>Tracy Steen Personal Trainer</t>
        </is>
      </c>
      <c r="O127" s="8" t="n"/>
      <c r="P127" s="8" t="n"/>
      <c r="Q127" s="8" t="n"/>
      <c r="R127" s="8" t="n"/>
      <c r="S127" s="8" t="n"/>
      <c r="T127" s="8" t="n"/>
      <c r="U127" s="8" t="n"/>
      <c r="V127" s="8" t="n"/>
      <c r="W127" s="8" t="n"/>
      <c r="X127" s="8" t="n"/>
      <c r="Y127" s="8" t="n"/>
      <c r="Z127" s="8" t="n"/>
      <c r="AA127" s="8" t="n"/>
      <c r="AB127" s="8" t="n"/>
      <c r="AC127" s="8" t="n"/>
      <c r="AD127" s="8" t="n"/>
      <c r="AE127" s="10">
        <f>SUM(O127:V127)</f>
        <v/>
      </c>
      <c r="AF127" s="10">
        <f>SUM(W127:AC127)</f>
        <v/>
      </c>
      <c r="AG127" s="10">
        <f>SUM(O127:AD127)</f>
        <v/>
      </c>
      <c r="AH127" s="8">
        <f>IF(AG127="","",IF(AG127&lt;=26,"Very Poor",IF(AG127&lt;=38,"Poor",IF(AG127&lt;=50,"Fair",IF(AG127&lt;=62,"Good","Excellent")))))</f>
        <v/>
      </c>
      <c r="AI127" s="8" t="n"/>
      <c r="AJ127" s="8" t="n"/>
      <c r="AK127" s="8" t="n"/>
      <c r="AL127" s="8" t="n"/>
      <c r="AM127" s="10">
        <f>COUNTIF(AI127:AL127,"Y")</f>
        <v/>
      </c>
      <c r="AN127" s="8" t="n"/>
    </row>
    <row r="128">
      <c r="A128" s="8" t="inlineStr">
        <is>
          <t>TT-27</t>
        </is>
      </c>
      <c r="B128" s="8" t="inlineStr">
        <is>
          <t>TikTok</t>
        </is>
      </c>
      <c r="C128" s="8" t="inlineStr">
        <is>
          <t>strength training for beginners</t>
        </is>
      </c>
      <c r="D128" s="8" t="inlineStr">
        <is>
          <t>https://www.tiktok.com/@jordan_morgan_/video/7274999521296256288</t>
        </is>
      </c>
      <c r="E128" s="8" t="inlineStr">
        <is>
          <t>"WORKOUT DETAILS DOWN BELOW 👇  The perfect full body beginner workout if you’re new to the gym or training in general and want to ease yourself in slowly! These movements target your lower body</t>
        </is>
      </c>
      <c r="F128" s="8" t="inlineStr">
        <is>
          <t>upper body and core!  Warm up as needed   3 sets:  DB goblet squat x10  Seated shoulder press x10 each side   3 sets:  KB deadlfit x10  Single arm bent over row x10 each side   3 sets:  DB pull through x10-20   Rest as needed throughout the whole workout!   #beginnerworkout #fitnesscoach #personaltrainer"</t>
        </is>
      </c>
      <c r="G128" s="8" t="inlineStr">
        <is>
          <t>Jordan Morgan | Fitness Coach</t>
        </is>
      </c>
      <c r="H128" s="9" t="inlineStr">
        <is>
          <t>✨FITNESS COACH✨ Link down below for coaching enquiries and programs 👇👇👇  Jordan@jordanmorganpt.com</t>
        </is>
      </c>
      <c r="I128" s="10" t="n"/>
      <c r="J128" s="10" t="n">
        <v>9200000</v>
      </c>
      <c r="K128" s="10" t="n">
        <v>402400</v>
      </c>
      <c r="L128" s="10" t="n">
        <v>37500</v>
      </c>
      <c r="M128" s="8" t="n"/>
      <c r="N128" s="8" t="inlineStr">
        <is>
          <t>1482</t>
        </is>
      </c>
      <c r="O128" s="8" t="n"/>
      <c r="P128" s="8" t="n"/>
      <c r="Q128" s="8" t="n"/>
      <c r="R128" s="8" t="n"/>
      <c r="S128" s="8" t="n"/>
      <c r="T128" s="8" t="n"/>
      <c r="U128" s="8" t="n"/>
      <c r="V128" s="8" t="n"/>
      <c r="W128" s="8" t="n"/>
      <c r="X128" s="8" t="n"/>
      <c r="Y128" s="8" t="n"/>
      <c r="Z128" s="8" t="n"/>
      <c r="AA128" s="8" t="n"/>
      <c r="AB128" s="8" t="n"/>
      <c r="AC128" s="8" t="n"/>
      <c r="AD128" s="8" t="n"/>
      <c r="AE128" s="10">
        <f>SUM(O128:V128)</f>
        <v/>
      </c>
      <c r="AF128" s="10">
        <f>SUM(W128:AC128)</f>
        <v/>
      </c>
      <c r="AG128" s="10">
        <f>SUM(O128:AD128)</f>
        <v/>
      </c>
      <c r="AH128" s="8">
        <f>IF(AG128="","",IF(AG128&lt;=26,"Very Poor",IF(AG128&lt;=38,"Poor",IF(AG128&lt;=50,"Fair",IF(AG128&lt;=62,"Good","Excellent")))))</f>
        <v/>
      </c>
      <c r="AI128" s="8" t="n"/>
      <c r="AJ128" s="8" t="n"/>
      <c r="AK128" s="8" t="n"/>
      <c r="AL128" s="8" t="n"/>
      <c r="AM128" s="10">
        <f>COUNTIF(AI128:AL128,"Y")</f>
        <v/>
      </c>
      <c r="AN128" s="8" t="n"/>
    </row>
    <row r="129">
      <c r="A129" s="8" t="inlineStr">
        <is>
          <t>TT-28</t>
        </is>
      </c>
      <c r="B129" s="8" t="inlineStr">
        <is>
          <t>TikTok</t>
        </is>
      </c>
      <c r="C129" s="8" t="inlineStr">
        <is>
          <t>strength training for beginners</t>
        </is>
      </c>
      <c r="D129" s="8" t="inlineStr">
        <is>
          <t>https://www.tiktok.com/@weshape/video/7163296796599389486</t>
        </is>
      </c>
      <c r="E129" s="8" t="inlineStr">
        <is>
          <t>If you don't have the strength to do a regular push up then try these beginner movements you can do to help build the early foundations of working up towards doing an actual push up! #beginnerpushups #musclefoundationbuilding #beginner #pushups #upperbodystrengthening #fitnesstips #fyp</t>
        </is>
      </c>
      <c r="F129" s="8" t="inlineStr">
        <is>
          <t>WeShape</t>
        </is>
      </c>
      <c r="G129" s="8" t="inlineStr">
        <is>
          <t>"Move better</t>
        </is>
      </c>
      <c r="H129" s="9" t="inlineStr">
        <is>
          <t>feel better! Try the perfect workout for you (Click the link below)"</t>
        </is>
      </c>
      <c r="I129" s="10" t="n"/>
      <c r="J129" s="10" t="n">
        <v>59400</v>
      </c>
      <c r="K129" s="10" t="n">
        <v>2058</v>
      </c>
      <c r="L129" s="10" t="n">
        <v>157</v>
      </c>
      <c r="M129" s="8" t="n"/>
      <c r="N129" s="8" t="inlineStr">
        <is>
          <t>16</t>
        </is>
      </c>
      <c r="O129" s="8" t="n"/>
      <c r="P129" s="8" t="n"/>
      <c r="Q129" s="8" t="n"/>
      <c r="R129" s="8" t="n"/>
      <c r="S129" s="8" t="n"/>
      <c r="T129" s="8" t="n"/>
      <c r="U129" s="8" t="n"/>
      <c r="V129" s="8" t="n"/>
      <c r="W129" s="8" t="n"/>
      <c r="X129" s="8" t="n"/>
      <c r="Y129" s="8" t="n"/>
      <c r="Z129" s="8" t="n"/>
      <c r="AA129" s="8" t="n"/>
      <c r="AB129" s="8" t="n"/>
      <c r="AC129" s="8" t="n"/>
      <c r="AD129" s="8" t="n"/>
      <c r="AE129" s="10">
        <f>SUM(O129:V129)</f>
        <v/>
      </c>
      <c r="AF129" s="10">
        <f>SUM(W129:AC129)</f>
        <v/>
      </c>
      <c r="AG129" s="10">
        <f>SUM(O129:AD129)</f>
        <v/>
      </c>
      <c r="AH129" s="8">
        <f>IF(AG129="","",IF(AG129&lt;=26,"Very Poor",IF(AG129&lt;=38,"Poor",IF(AG129&lt;=50,"Fair",IF(AG129&lt;=62,"Good","Excellent")))))</f>
        <v/>
      </c>
      <c r="AI129" s="8" t="n"/>
      <c r="AJ129" s="8" t="n"/>
      <c r="AK129" s="8" t="n"/>
      <c r="AL129" s="8" t="n"/>
      <c r="AM129" s="10">
        <f>COUNTIF(AI129:AL129,"Y")</f>
        <v/>
      </c>
      <c r="AN129" s="8" t="n"/>
    </row>
    <row r="130">
      <c r="A130" s="8" t="inlineStr">
        <is>
          <t>TT-29</t>
        </is>
      </c>
      <c r="B130" s="8" t="inlineStr">
        <is>
          <t>TikTok</t>
        </is>
      </c>
      <c r="C130" s="8" t="inlineStr">
        <is>
          <t>strength training for beginners</t>
        </is>
      </c>
      <c r="D130" s="8" t="inlineStr">
        <is>
          <t>https://www.tiktok.com/@britanywilliams/video/7137809489050324267</t>
        </is>
      </c>
      <c r="E130" s="8" t="inlineStr">
        <is>
          <t>"How to start strength training? Start with simple exercises that target deep core strength</t>
        </is>
      </c>
      <c r="F130" s="8" t="inlineStr">
        <is>
          <t>balance and coordination so you can build proper form and function. Save the heavy lifts for later! #coreengagement #deepcore #beginnerstrengthtraining #beginnerfitness"</t>
        </is>
      </c>
      <c r="G130" s="8" t="inlineStr">
        <is>
          <t>Britany Williams</t>
        </is>
      </c>
      <c r="H130" s="9" t="inlineStr">
        <is>
          <t>A realistic approach to fitness &amp; motherhood.  Get my 20 min dumbbell workout plan</t>
        </is>
      </c>
      <c r="I130" s="10" t="n"/>
      <c r="J130" s="10" t="n">
        <v>6472</v>
      </c>
      <c r="K130" s="10" t="n">
        <v>455</v>
      </c>
      <c r="L130" s="10" t="n">
        <v>8</v>
      </c>
      <c r="M130" s="8" t="n"/>
      <c r="N130" s="8" t="inlineStr">
        <is>
          <t>3</t>
        </is>
      </c>
      <c r="O130" s="8" t="n"/>
      <c r="P130" s="8" t="n"/>
      <c r="Q130" s="8" t="n"/>
      <c r="R130" s="8" t="n"/>
      <c r="S130" s="8" t="n"/>
      <c r="T130" s="8" t="n"/>
      <c r="U130" s="8" t="n"/>
      <c r="V130" s="8" t="n"/>
      <c r="W130" s="8" t="n"/>
      <c r="X130" s="8" t="n"/>
      <c r="Y130" s="8" t="n"/>
      <c r="Z130" s="8" t="n"/>
      <c r="AA130" s="8" t="n"/>
      <c r="AB130" s="8" t="n"/>
      <c r="AC130" s="8" t="n"/>
      <c r="AD130" s="8" t="n"/>
      <c r="AE130" s="10">
        <f>SUM(O130:V130)</f>
        <v/>
      </c>
      <c r="AF130" s="10">
        <f>SUM(W130:AC130)</f>
        <v/>
      </c>
      <c r="AG130" s="10">
        <f>SUM(O130:AD130)</f>
        <v/>
      </c>
      <c r="AH130" s="8">
        <f>IF(AG130="","",IF(AG130&lt;=26,"Very Poor",IF(AG130&lt;=38,"Poor",IF(AG130&lt;=50,"Fair",IF(AG130&lt;=62,"Good","Excellent")))))</f>
        <v/>
      </c>
      <c r="AI130" s="8" t="n"/>
      <c r="AJ130" s="8" t="n"/>
      <c r="AK130" s="8" t="n"/>
      <c r="AL130" s="8" t="n"/>
      <c r="AM130" s="10">
        <f>COUNTIF(AI130:AL130,"Y")</f>
        <v/>
      </c>
      <c r="AN130" s="8" t="n"/>
    </row>
    <row r="131">
      <c r="A131" s="8" t="inlineStr">
        <is>
          <t>TT-30</t>
        </is>
      </c>
      <c r="B131" s="8" t="inlineStr">
        <is>
          <t>TikTok</t>
        </is>
      </c>
      <c r="C131" s="8" t="inlineStr">
        <is>
          <t>strength training for beginners</t>
        </is>
      </c>
      <c r="D131" s="8" t="inlineStr">
        <is>
          <t>https://www.tiktok.com/@annie.short/video/7605559334487018760</t>
        </is>
      </c>
      <c r="E131" s="8" t="inlineStr">
        <is>
          <t>"If I was a beginner here’s how I would get started strength training w/ hEDS (or similar)  🏋🏼‍♀️5 STEPS🏋️‍♂️  1️⃣ Find some stability exercises you can tolerate. 2-4 each for your upper body</t>
        </is>
      </c>
      <c r="F131" s="8" t="inlineStr">
        <is>
          <t>mid section</t>
        </is>
      </c>
      <c r="G131" s="8" t="inlineStr">
        <is>
          <t>&amp; lower body. I have some examples on my YouTube(annieshortstrength -&gt; upper body warmup exercises) &amp; in my B&amp;S course  2️⃣ Build them into a routine. The goal here is to introduce exercise WITHOUT inducing a flare. Low reps. Do each exercise 1-2x/week. You might stay here for a while</t>
        </is>
      </c>
      <c r="H131" s="9" t="inlineStr">
        <is>
          <t>or if"</t>
        </is>
      </c>
      <c r="I131" s="10" t="n"/>
      <c r="J131" s="10" t="n"/>
      <c r="K131" s="10" t="n"/>
      <c r="L131" s="10" t="n"/>
      <c r="M131" s="8" t="n"/>
      <c r="N131" s="8" t="inlineStr">
        <is>
          <t>2026-02-11T10:54:39.000Z</t>
        </is>
      </c>
      <c r="O131" s="8" t="n"/>
      <c r="P131" s="8" t="n"/>
      <c r="Q131" s="8" t="n"/>
      <c r="R131" s="8" t="n"/>
      <c r="S131" s="8" t="n"/>
      <c r="T131" s="8" t="n"/>
      <c r="U131" s="8" t="n"/>
      <c r="V131" s="8" t="n"/>
      <c r="W131" s="8" t="n"/>
      <c r="X131" s="8" t="n"/>
      <c r="Y131" s="8" t="n"/>
      <c r="Z131" s="8" t="n"/>
      <c r="AA131" s="8" t="n"/>
      <c r="AB131" s="8" t="n"/>
      <c r="AC131" s="8" t="n"/>
      <c r="AD131" s="8" t="n"/>
      <c r="AE131" s="10">
        <f>SUM(O131:V131)</f>
        <v/>
      </c>
      <c r="AF131" s="10">
        <f>SUM(W131:AC131)</f>
        <v/>
      </c>
      <c r="AG131" s="10">
        <f>SUM(O131:AD131)</f>
        <v/>
      </c>
      <c r="AH131" s="8">
        <f>IF(AG131="","",IF(AG131&lt;=26,"Very Poor",IF(AG131&lt;=38,"Poor",IF(AG131&lt;=50,"Fair",IF(AG131&lt;=62,"Good","Excellent")))))</f>
        <v/>
      </c>
      <c r="AI131" s="8" t="n"/>
      <c r="AJ131" s="8" t="n"/>
      <c r="AK131" s="8" t="n"/>
      <c r="AL131" s="8" t="n"/>
      <c r="AM131" s="10">
        <f>COUNTIF(AI131:AL131,"Y")</f>
        <v/>
      </c>
      <c r="AN131" s="8" t="n"/>
    </row>
    <row r="132">
      <c r="A132" s="8" t="inlineStr">
        <is>
          <t>TT-31</t>
        </is>
      </c>
      <c r="B132" s="8" t="inlineStr">
        <is>
          <t>TikTok</t>
        </is>
      </c>
      <c r="C132" s="8" t="inlineStr">
        <is>
          <t>physical activity guidelines</t>
        </is>
      </c>
      <c r="D132" s="8" t="inlineStr">
        <is>
          <t>https://www.tiktok.com/@jennaazer08/video/7301482973403122949</t>
        </is>
      </c>
      <c r="E132" s="8" t="inlineStr">
        <is>
          <t>#forschoolpurposes #fyp</t>
        </is>
      </c>
      <c r="F132" s="8" t="inlineStr">
        <is>
          <t>lmaooo</t>
        </is>
      </c>
      <c r="G132" s="8" t="inlineStr">
        <is>
          <t>B R U H</t>
        </is>
      </c>
      <c r="H132" s="9" t="inlineStr">
        <is>
          <t>2023-11-15</t>
        </is>
      </c>
      <c r="I132" s="10" t="n">
        <v>1559</v>
      </c>
      <c r="J132" s="10" t="n">
        <v>10</v>
      </c>
      <c r="K132" s="10" t="n">
        <v>9</v>
      </c>
      <c r="L132" s="10" t="n"/>
      <c r="M132" s="8" t="n"/>
      <c r="N132" s="8" t="inlineStr">
        <is>
          <t>Short video (&lt;60s)</t>
        </is>
      </c>
      <c r="O132" s="8" t="n"/>
      <c r="P132" s="8" t="n"/>
      <c r="Q132" s="8" t="n"/>
      <c r="R132" s="8" t="n"/>
      <c r="S132" s="8" t="n"/>
      <c r="T132" s="8" t="n"/>
      <c r="U132" s="8" t="n"/>
      <c r="V132" s="8" t="n"/>
      <c r="W132" s="8" t="n"/>
      <c r="X132" s="8" t="n"/>
      <c r="Y132" s="8" t="n"/>
      <c r="Z132" s="8" t="n"/>
      <c r="AA132" s="8" t="n"/>
      <c r="AB132" s="8" t="n"/>
      <c r="AC132" s="8" t="n"/>
      <c r="AD132" s="8" t="n"/>
      <c r="AE132" s="10">
        <f>SUM(O132:V132)</f>
        <v/>
      </c>
      <c r="AF132" s="10">
        <f>SUM(W132:AC132)</f>
        <v/>
      </c>
      <c r="AG132" s="10">
        <f>SUM(O132:AD132)</f>
        <v/>
      </c>
      <c r="AH132" s="8">
        <f>IF(AG132="","",IF(AG132&lt;=26,"Very Poor",IF(AG132&lt;=38,"Poor",IF(AG132&lt;=50,"Fair",IF(AG132&lt;=62,"Good","Excellent")))))</f>
        <v/>
      </c>
      <c r="AI132" s="8" t="n"/>
      <c r="AJ132" s="8" t="n"/>
      <c r="AK132" s="8" t="n"/>
      <c r="AL132" s="8" t="n"/>
      <c r="AM132" s="10">
        <f>COUNTIF(AI132:AL132,"Y")</f>
        <v/>
      </c>
      <c r="AN132" s="8" t="n"/>
    </row>
    <row r="133">
      <c r="A133" s="8" t="inlineStr">
        <is>
          <t>TT-32</t>
        </is>
      </c>
      <c r="B133" s="8" t="inlineStr">
        <is>
          <t>TikTok</t>
        </is>
      </c>
      <c r="C133" s="8" t="inlineStr">
        <is>
          <t>physical activity guidelines</t>
        </is>
      </c>
      <c r="D133" s="8" t="inlineStr">
        <is>
          <t>https://www.tiktok.com/@pediatricdrmom/video/7528287911389744439</t>
        </is>
      </c>
      <c r="E133" s="8" t="inlineStr">
        <is>
          <t>Physical activity guidelines for kids! Time to get active! #exercise #kidsactivities #pediatrics #pediatrician #momlife</t>
        </is>
      </c>
      <c r="F133" s="8" t="inlineStr">
        <is>
          <t>Dr. Michelle | Pediatrician</t>
        </is>
      </c>
      <c r="G133" s="8" t="inlineStr">
        <is>
          <t>Board Certified Pediatrician👩🏻‍⚕️ Raising a Chinese Indian American 👦🏻</t>
        </is>
      </c>
      <c r="H133" s="9" t="inlineStr">
        <is>
          <t>2025-07-18</t>
        </is>
      </c>
      <c r="I133" s="10" t="n">
        <v>29200</v>
      </c>
      <c r="J133" s="10" t="n">
        <v>226</v>
      </c>
      <c r="K133" s="10" t="n">
        <v>5</v>
      </c>
      <c r="L133" s="10" t="n">
        <v>5</v>
      </c>
      <c r="M133" s="8" t="n"/>
      <c r="N133" s="8" t="inlineStr">
        <is>
          <t>Short video (&lt;60s)</t>
        </is>
      </c>
      <c r="O133" s="8" t="n"/>
      <c r="P133" s="8" t="n"/>
      <c r="Q133" s="8" t="n"/>
      <c r="R133" s="8" t="n"/>
      <c r="S133" s="8" t="n"/>
      <c r="T133" s="8" t="n"/>
      <c r="U133" s="8" t="n"/>
      <c r="V133" s="8" t="n"/>
      <c r="W133" s="8" t="n"/>
      <c r="X133" s="8" t="n"/>
      <c r="Y133" s="8" t="n"/>
      <c r="Z133" s="8" t="n"/>
      <c r="AA133" s="8" t="n"/>
      <c r="AB133" s="8" t="n"/>
      <c r="AC133" s="8" t="n"/>
      <c r="AD133" s="8" t="n"/>
      <c r="AE133" s="10">
        <f>SUM(O133:V133)</f>
        <v/>
      </c>
      <c r="AF133" s="10">
        <f>SUM(W133:AC133)</f>
        <v/>
      </c>
      <c r="AG133" s="10">
        <f>SUM(O133:AD133)</f>
        <v/>
      </c>
      <c r="AH133" s="8">
        <f>IF(AG133="","",IF(AG133&lt;=26,"Very Poor",IF(AG133&lt;=38,"Poor",IF(AG133&lt;=50,"Fair",IF(AG133&lt;=62,"Good","Excellent")))))</f>
        <v/>
      </c>
      <c r="AI133" s="8" t="n"/>
      <c r="AJ133" s="8" t="n"/>
      <c r="AK133" s="8" t="n"/>
      <c r="AL133" s="8" t="n"/>
      <c r="AM133" s="10">
        <f>COUNTIF(AI133:AL133,"Y")</f>
        <v/>
      </c>
      <c r="AN133" s="8" t="n"/>
    </row>
    <row r="134">
      <c r="A134" s="8" t="inlineStr">
        <is>
          <t>TT-33</t>
        </is>
      </c>
      <c r="B134" s="8" t="inlineStr">
        <is>
          <t>TikTok</t>
        </is>
      </c>
      <c r="C134" s="8" t="inlineStr">
        <is>
          <t>physical activity guidelines</t>
        </is>
      </c>
      <c r="D134" s="8" t="inlineStr">
        <is>
          <t>https://www.tiktok.com/@mamaot_shannon/video/7594480101371235598</t>
        </is>
      </c>
      <c r="E134" s="8" t="inlineStr">
        <is>
          <t>"Physical activity isn’t just about strong bodies — it’s a huge piece of emotional regulation for toddlers &amp; preschoolers 🧠💛  Meeting daily physical activity guidelines supports mental and emotional health</t>
        </is>
      </c>
      <c r="F134" s="8" t="inlineStr">
        <is>
          <t>not just physical development. And for little kids</t>
        </is>
      </c>
      <c r="G134" s="8" t="inlineStr">
        <is>
          <t>that matters more than we realize.  When toddlers &amp; preschoolers move their bodies regularly</t>
        </is>
      </c>
      <c r="H134" s="9" t="inlineStr">
        <is>
          <t>we often see: ✨ Better listening &amp; attention 😴 Better sleep quality 🥗 Improved appetite &amp; diet variety 👨‍👩‍👧 More engagement in family routin"</t>
        </is>
      </c>
      <c r="I134" s="10" t="n"/>
      <c r="J134" s="10" t="n"/>
      <c r="K134" s="10" t="n"/>
      <c r="L134" s="10" t="n">
        <v>972</v>
      </c>
      <c r="M134" s="8" t="n"/>
      <c r="N134" s="8" t="inlineStr">
        <is>
          <t>54</t>
        </is>
      </c>
      <c r="O134" s="8" t="n"/>
      <c r="P134" s="8" t="n"/>
      <c r="Q134" s="8" t="n"/>
      <c r="R134" s="8" t="n"/>
      <c r="S134" s="8" t="n"/>
      <c r="T134" s="8" t="n"/>
      <c r="U134" s="8" t="n"/>
      <c r="V134" s="8" t="n"/>
      <c r="W134" s="8" t="n"/>
      <c r="X134" s="8" t="n"/>
      <c r="Y134" s="8" t="n"/>
      <c r="Z134" s="8" t="n"/>
      <c r="AA134" s="8" t="n"/>
      <c r="AB134" s="8" t="n"/>
      <c r="AC134" s="8" t="n"/>
      <c r="AD134" s="8" t="n"/>
      <c r="AE134" s="10">
        <f>SUM(O134:V134)</f>
        <v/>
      </c>
      <c r="AF134" s="10">
        <f>SUM(W134:AC134)</f>
        <v/>
      </c>
      <c r="AG134" s="10">
        <f>SUM(O134:AD134)</f>
        <v/>
      </c>
      <c r="AH134" s="8">
        <f>IF(AG134="","",IF(AG134&lt;=26,"Very Poor",IF(AG134&lt;=38,"Poor",IF(AG134&lt;=50,"Fair",IF(AG134&lt;=62,"Good","Excellent")))))</f>
        <v/>
      </c>
      <c r="AI134" s="8" t="n"/>
      <c r="AJ134" s="8" t="n"/>
      <c r="AK134" s="8" t="n"/>
      <c r="AL134" s="8" t="n"/>
      <c r="AM134" s="10">
        <f>COUNTIF(AI134:AL134,"Y")</f>
        <v/>
      </c>
      <c r="AN134" s="8" t="n"/>
    </row>
    <row r="135">
      <c r="A135" s="8" t="inlineStr">
        <is>
          <t>TT-34</t>
        </is>
      </c>
      <c r="B135" s="8" t="inlineStr">
        <is>
          <t>TikTok</t>
        </is>
      </c>
      <c r="C135" s="8" t="inlineStr">
        <is>
          <t>physical activity guidelines</t>
        </is>
      </c>
      <c r="D135" s="8" t="inlineStr">
        <is>
          <t>https://www.tiktok.com/@all.ways.active/video/7068725681659579653</t>
        </is>
      </c>
      <c r="E135" s="8" t="inlineStr">
        <is>
          <t>Reply to @teablossomscake  #physicalactivity comes in so many different forms! #workout #fittok #healthandfitness #fitnesstips #fitnessmotivation</t>
        </is>
      </c>
      <c r="F135" s="8" t="inlineStr">
        <is>
          <t>"Katie</t>
        </is>
      </c>
      <c r="G135" s="8" t="inlineStr">
        <is>
          <t>MSc | Hybrid Training"</t>
        </is>
      </c>
      <c r="H135" s="9" t="inlineStr">
        <is>
          <t>PhD Candidate Host of the All Ways Active Podcast🩵 Get Psyched to Move🧠🏃‍♀️</t>
        </is>
      </c>
      <c r="I135" s="10" t="n"/>
      <c r="J135" s="10" t="n">
        <v>4948</v>
      </c>
      <c r="K135" s="10" t="n">
        <v>94</v>
      </c>
      <c r="L135" s="10" t="n">
        <v>7</v>
      </c>
      <c r="M135" s="8" t="n"/>
      <c r="N135" s="8" t="inlineStr">
        <is>
          <t>4</t>
        </is>
      </c>
      <c r="O135" s="8" t="n"/>
      <c r="P135" s="8" t="n"/>
      <c r="Q135" s="8" t="n"/>
      <c r="R135" s="8" t="n"/>
      <c r="S135" s="8" t="n"/>
      <c r="T135" s="8" t="n"/>
      <c r="U135" s="8" t="n"/>
      <c r="V135" s="8" t="n"/>
      <c r="W135" s="8" t="n"/>
      <c r="X135" s="8" t="n"/>
      <c r="Y135" s="8" t="n"/>
      <c r="Z135" s="8" t="n"/>
      <c r="AA135" s="8" t="n"/>
      <c r="AB135" s="8" t="n"/>
      <c r="AC135" s="8" t="n"/>
      <c r="AD135" s="8" t="n"/>
      <c r="AE135" s="10">
        <f>SUM(O135:V135)</f>
        <v/>
      </c>
      <c r="AF135" s="10">
        <f>SUM(W135:AC135)</f>
        <v/>
      </c>
      <c r="AG135" s="10">
        <f>SUM(O135:AD135)</f>
        <v/>
      </c>
      <c r="AH135" s="8">
        <f>IF(AG135="","",IF(AG135&lt;=26,"Very Poor",IF(AG135&lt;=38,"Poor",IF(AG135&lt;=50,"Fair",IF(AG135&lt;=62,"Good","Excellent")))))</f>
        <v/>
      </c>
      <c r="AI135" s="8" t="n"/>
      <c r="AJ135" s="8" t="n"/>
      <c r="AK135" s="8" t="n"/>
      <c r="AL135" s="8" t="n"/>
      <c r="AM135" s="10">
        <f>COUNTIF(AI135:AL135,"Y")</f>
        <v/>
      </c>
      <c r="AN135" s="8" t="n"/>
    </row>
    <row r="136">
      <c r="A136" s="8" t="inlineStr">
        <is>
          <t>TT-35</t>
        </is>
      </c>
      <c r="B136" s="8" t="inlineStr">
        <is>
          <t>TikTok</t>
        </is>
      </c>
      <c r="C136" s="8" t="inlineStr">
        <is>
          <t>physical activity guidelines</t>
        </is>
      </c>
      <c r="D136" s="8" t="inlineStr">
        <is>
          <t>https://www.tiktok.com/@holistichealth.we/video/7459148375594716446</t>
        </is>
      </c>
      <c r="E136" s="8" t="inlineStr">
        <is>
          <t>Physical activity</t>
        </is>
      </c>
      <c r="F136" s="8" t="inlineStr">
        <is>
          <t>HolisticHealth &amp; Wellness</t>
        </is>
      </c>
      <c r="G136" s="8" t="n"/>
      <c r="H136" s="9" t="inlineStr">
        <is>
          <t>2025-01-12</t>
        </is>
      </c>
      <c r="I136" s="10" t="n">
        <v>3612</v>
      </c>
      <c r="J136" s="10" t="n">
        <v>31</v>
      </c>
      <c r="K136" s="10" t="n">
        <v>8</v>
      </c>
      <c r="L136" s="10" t="n">
        <v>2</v>
      </c>
      <c r="M136" s="8" t="n"/>
      <c r="N136" s="8" t="inlineStr">
        <is>
          <t>Short video (&lt;60s)</t>
        </is>
      </c>
      <c r="O136" s="8" t="n"/>
      <c r="P136" s="8" t="n"/>
      <c r="Q136" s="8" t="n"/>
      <c r="R136" s="8" t="n"/>
      <c r="S136" s="8" t="n"/>
      <c r="T136" s="8" t="n"/>
      <c r="U136" s="8" t="n"/>
      <c r="V136" s="8" t="n"/>
      <c r="W136" s="8" t="n"/>
      <c r="X136" s="8" t="n"/>
      <c r="Y136" s="8" t="n"/>
      <c r="Z136" s="8" t="n"/>
      <c r="AA136" s="8" t="n"/>
      <c r="AB136" s="8" t="n"/>
      <c r="AC136" s="8" t="n"/>
      <c r="AD136" s="8" t="n"/>
      <c r="AE136" s="10">
        <f>SUM(O136:V136)</f>
        <v/>
      </c>
      <c r="AF136" s="10">
        <f>SUM(W136:AC136)</f>
        <v/>
      </c>
      <c r="AG136" s="10">
        <f>SUM(O136:AD136)</f>
        <v/>
      </c>
      <c r="AH136" s="8">
        <f>IF(AG136="","",IF(AG136&lt;=26,"Very Poor",IF(AG136&lt;=38,"Poor",IF(AG136&lt;=50,"Fair",IF(AG136&lt;=62,"Good","Excellent")))))</f>
        <v/>
      </c>
      <c r="AI136" s="8" t="n"/>
      <c r="AJ136" s="8" t="n"/>
      <c r="AK136" s="8" t="n"/>
      <c r="AL136" s="8" t="n"/>
      <c r="AM136" s="10">
        <f>COUNTIF(AI136:AL136,"Y")</f>
        <v/>
      </c>
      <c r="AN136" s="8" t="n"/>
    </row>
    <row r="137">
      <c r="A137" s="8" t="inlineStr">
        <is>
          <t>TT-36</t>
        </is>
      </c>
      <c r="B137" s="8" t="inlineStr">
        <is>
          <t>TikTok</t>
        </is>
      </c>
      <c r="C137" s="8" t="inlineStr">
        <is>
          <t>physical activity guidelines</t>
        </is>
      </c>
      <c r="D137" s="8" t="inlineStr">
        <is>
          <t>https://www.tiktok.com/@jacbfoods/video/7564931369701281054</t>
        </is>
      </c>
      <c r="E137" s="8" t="inlineStr">
        <is>
          <t>#greenscreen are the guidelines the problem?</t>
        </is>
      </c>
      <c r="F137" s="8" t="inlineStr">
        <is>
          <t>JacobFoods | Nutrition</t>
        </is>
      </c>
      <c r="G137" s="8" t="inlineStr">
        <is>
          <t>"MS Dietetics</t>
        </is>
      </c>
      <c r="H137" s="9" t="inlineStr">
        <is>
          <t>RD2B. Former ""primal bro"" who escaped disordered eating and got educated. WORK WITH ME 1 ON 1 ⬇️"</t>
        </is>
      </c>
      <c r="I137" s="10" t="n"/>
      <c r="J137" s="10" t="n">
        <v>5614</v>
      </c>
      <c r="K137" s="10" t="n">
        <v>389</v>
      </c>
      <c r="L137" s="10" t="n">
        <v>4</v>
      </c>
      <c r="M137" s="8" t="n"/>
      <c r="N137" s="8" t="inlineStr">
        <is>
          <t>19</t>
        </is>
      </c>
      <c r="O137" s="8" t="n"/>
      <c r="P137" s="8" t="n"/>
      <c r="Q137" s="8" t="n"/>
      <c r="R137" s="8" t="n"/>
      <c r="S137" s="8" t="n"/>
      <c r="T137" s="8" t="n"/>
      <c r="U137" s="8" t="n"/>
      <c r="V137" s="8" t="n"/>
      <c r="W137" s="8" t="n"/>
      <c r="X137" s="8" t="n"/>
      <c r="Y137" s="8" t="n"/>
      <c r="Z137" s="8" t="n"/>
      <c r="AA137" s="8" t="n"/>
      <c r="AB137" s="8" t="n"/>
      <c r="AC137" s="8" t="n"/>
      <c r="AD137" s="8" t="n"/>
      <c r="AE137" s="10">
        <f>SUM(O137:V137)</f>
        <v/>
      </c>
      <c r="AF137" s="10">
        <f>SUM(W137:AC137)</f>
        <v/>
      </c>
      <c r="AG137" s="10">
        <f>SUM(O137:AD137)</f>
        <v/>
      </c>
      <c r="AH137" s="8">
        <f>IF(AG137="","",IF(AG137&lt;=26,"Very Poor",IF(AG137&lt;=38,"Poor",IF(AG137&lt;=50,"Fair",IF(AG137&lt;=62,"Good","Excellent")))))</f>
        <v/>
      </c>
      <c r="AI137" s="8" t="n"/>
      <c r="AJ137" s="8" t="n"/>
      <c r="AK137" s="8" t="n"/>
      <c r="AL137" s="8" t="n"/>
      <c r="AM137" s="10">
        <f>COUNTIF(AI137:AL137,"Y")</f>
        <v/>
      </c>
      <c r="AN137" s="8" t="n"/>
    </row>
    <row r="138">
      <c r="A138" s="8" t="inlineStr">
        <is>
          <t>TT-37</t>
        </is>
      </c>
      <c r="B138" s="8" t="inlineStr">
        <is>
          <t>TikTok</t>
        </is>
      </c>
      <c r="C138" s="8" t="inlineStr">
        <is>
          <t>physical activity guidelines</t>
        </is>
      </c>
      <c r="D138" s="8" t="inlineStr">
        <is>
          <t>https://www.tiktok.com/@dalyexercise/video/7498023401508900118</t>
        </is>
      </c>
      <c r="E138" s="8" t="inlineStr">
        <is>
          <t>"🔴🟠 Cone Collectors 🟠🔴  A fast-moving game of balance</t>
        </is>
      </c>
      <c r="F138" s="8" t="inlineStr">
        <is>
          <t>coordination</t>
        </is>
      </c>
      <c r="G138" s="8" t="inlineStr">
        <is>
          <t>and teamwork!⚡  Four teams start from the corners</t>
        </is>
      </c>
      <c r="H138" s="9" t="inlineStr">
        <is>
          <t>ready to race!🏁   Their mission? Dash to the center</t>
        </is>
      </c>
      <c r="I138" s="10" t="n"/>
      <c r="J138" s="10" t="n"/>
      <c r="K138" s="10" t="n"/>
      <c r="L138" s="10" t="n"/>
      <c r="M138" s="8" t="n"/>
      <c r="N138" s="8" t="inlineStr">
        <is>
          <t>and send them sprinting into action!✋➡️  If the cone falls? No worries—just pop it back on and keep hopping!✅  This game is packed with fundamental movemen"</t>
        </is>
      </c>
      <c r="O138" s="8" t="n"/>
      <c r="P138" s="8" t="n"/>
      <c r="Q138" s="8" t="n"/>
      <c r="R138" s="8" t="n"/>
      <c r="S138" s="8" t="n"/>
      <c r="T138" s="8" t="n"/>
      <c r="U138" s="8" t="n"/>
      <c r="V138" s="8" t="n"/>
      <c r="W138" s="8" t="n"/>
      <c r="X138" s="8" t="n"/>
      <c r="Y138" s="8" t="n"/>
      <c r="Z138" s="8" t="n"/>
      <c r="AA138" s="8" t="n"/>
      <c r="AB138" s="8" t="n"/>
      <c r="AC138" s="8" t="n"/>
      <c r="AD138" s="8" t="n"/>
      <c r="AE138" s="10">
        <f>SUM(O138:V138)</f>
        <v/>
      </c>
      <c r="AF138" s="10">
        <f>SUM(W138:AC138)</f>
        <v/>
      </c>
      <c r="AG138" s="10">
        <f>SUM(O138:AD138)</f>
        <v/>
      </c>
      <c r="AH138" s="8">
        <f>IF(AG138="","",IF(AG138&lt;=26,"Very Poor",IF(AG138&lt;=38,"Poor",IF(AG138&lt;=50,"Fair",IF(AG138&lt;=62,"Good","Excellent")))))</f>
        <v/>
      </c>
      <c r="AI138" s="8" t="n"/>
      <c r="AJ138" s="8" t="n"/>
      <c r="AK138" s="8" t="n"/>
      <c r="AL138" s="8" t="n"/>
      <c r="AM138" s="10">
        <f>COUNTIF(AI138:AL138,"Y")</f>
        <v/>
      </c>
      <c r="AN138" s="8" t="n"/>
    </row>
    <row r="139">
      <c r="A139" s="8" t="inlineStr">
        <is>
          <t>TT-38</t>
        </is>
      </c>
      <c r="B139" s="8" t="inlineStr">
        <is>
          <t>TikTok</t>
        </is>
      </c>
      <c r="C139" s="8" t="inlineStr">
        <is>
          <t>physical activity guidelines</t>
        </is>
      </c>
      <c r="D139" s="8" t="inlineStr">
        <is>
          <t>https://www.tiktok.com/@geniusauladkubangkerian/video/7535813135165328658</t>
        </is>
      </c>
      <c r="E139" s="8" t="inlineStr">
        <is>
          <t>5 ANDALUS: PHYSICAL ACTIVITY!  Physical activity - Follow the instructions 👏  #geniusauladkubangkerian  #gogenius  #preschool #5andalus #lessonbeyondclassroom</t>
        </is>
      </c>
      <c r="F139" s="8" t="inlineStr">
        <is>
          <t>geniusauladkubangkerian</t>
        </is>
      </c>
      <c r="G139" s="8" t="inlineStr">
        <is>
          <t>Genius Aulad Kubang Kerian Playschool.Preschool 0196370185 for any inquiries ☺️</t>
        </is>
      </c>
      <c r="H139" s="9" t="inlineStr">
        <is>
          <t>2025-08-07</t>
        </is>
      </c>
      <c r="I139" s="10" t="n">
        <v>28400</v>
      </c>
      <c r="J139" s="10" t="n">
        <v>362</v>
      </c>
      <c r="K139" s="10" t="n">
        <v>212</v>
      </c>
      <c r="L139" s="10" t="n">
        <v>1</v>
      </c>
      <c r="M139" s="8" t="n"/>
      <c r="N139" s="8" t="inlineStr">
        <is>
          <t>Short video (&lt;60s)</t>
        </is>
      </c>
      <c r="O139" s="8" t="n"/>
      <c r="P139" s="8" t="n"/>
      <c r="Q139" s="8" t="n"/>
      <c r="R139" s="8" t="n"/>
      <c r="S139" s="8" t="n"/>
      <c r="T139" s="8" t="n"/>
      <c r="U139" s="8" t="n"/>
      <c r="V139" s="8" t="n"/>
      <c r="W139" s="8" t="n"/>
      <c r="X139" s="8" t="n"/>
      <c r="Y139" s="8" t="n"/>
      <c r="Z139" s="8" t="n"/>
      <c r="AA139" s="8" t="n"/>
      <c r="AB139" s="8" t="n"/>
      <c r="AC139" s="8" t="n"/>
      <c r="AD139" s="8" t="n"/>
      <c r="AE139" s="10">
        <f>SUM(O139:V139)</f>
        <v/>
      </c>
      <c r="AF139" s="10">
        <f>SUM(W139:AC139)</f>
        <v/>
      </c>
      <c r="AG139" s="10">
        <f>SUM(O139:AD139)</f>
        <v/>
      </c>
      <c r="AH139" s="8">
        <f>IF(AG139="","",IF(AG139&lt;=26,"Very Poor",IF(AG139&lt;=38,"Poor",IF(AG139&lt;=50,"Fair",IF(AG139&lt;=62,"Good","Excellent")))))</f>
        <v/>
      </c>
      <c r="AI139" s="8" t="n"/>
      <c r="AJ139" s="8" t="n"/>
      <c r="AK139" s="8" t="n"/>
      <c r="AL139" s="8" t="n"/>
      <c r="AM139" s="10">
        <f>COUNTIF(AI139:AL139,"Y")</f>
        <v/>
      </c>
      <c r="AN139" s="8" t="n"/>
    </row>
    <row r="140">
      <c r="A140" s="8" t="inlineStr">
        <is>
          <t>TT-39</t>
        </is>
      </c>
      <c r="B140" s="8" t="inlineStr">
        <is>
          <t>TikTok</t>
        </is>
      </c>
      <c r="C140" s="8" t="inlineStr">
        <is>
          <t>physical activity guidelines</t>
        </is>
      </c>
      <c r="D140" s="8" t="inlineStr">
        <is>
          <t>https://www.tiktok.com/@carriebrownflint/video/7610984670418750733</t>
        </is>
      </c>
      <c r="E140" s="8" t="inlineStr">
        <is>
          <t>"Add movement to your dynamic warm-up.   Rather than waiting at one side for everybody to finish and then a new activity keep your students moving and engaged.  First round jumping jacks next round squats next round Burpee’s be creative but when they finish to the end</t>
        </is>
      </c>
      <c r="F140" s="8" t="inlineStr">
        <is>
          <t>they don’t stand and wait. They run back to the beginning of the line and keep on going. I do 20 seconds and then 10 seconds Jeopardy they all returned to the front of the line for the next exercise #dynamicwarmup #PhysicalEducatio"</t>
        </is>
      </c>
      <c r="G140" s="8" t="inlineStr">
        <is>
          <t>Carrie Flint</t>
        </is>
      </c>
      <c r="H140" s="9" t="inlineStr">
        <is>
          <t>National Presenter/PD/Consulting Class management /PE and APE https://carrieflint.com/contact/  https://carrieflint.com</t>
        </is>
      </c>
      <c r="I140" s="10" t="n"/>
      <c r="J140" s="10" t="n">
        <v>3318</v>
      </c>
      <c r="K140" s="10" t="n">
        <v>124</v>
      </c>
      <c r="L140" s="10" t="n">
        <v>23</v>
      </c>
      <c r="M140" s="8" t="n"/>
      <c r="N140" s="8" t="inlineStr">
        <is>
          <t>2</t>
        </is>
      </c>
      <c r="O140" s="8" t="n"/>
      <c r="P140" s="8" t="n"/>
      <c r="Q140" s="8" t="n"/>
      <c r="R140" s="8" t="n"/>
      <c r="S140" s="8" t="n"/>
      <c r="T140" s="8" t="n"/>
      <c r="U140" s="8" t="n"/>
      <c r="V140" s="8" t="n"/>
      <c r="W140" s="8" t="n"/>
      <c r="X140" s="8" t="n"/>
      <c r="Y140" s="8" t="n"/>
      <c r="Z140" s="8" t="n"/>
      <c r="AA140" s="8" t="n"/>
      <c r="AB140" s="8" t="n"/>
      <c r="AC140" s="8" t="n"/>
      <c r="AD140" s="8" t="n"/>
      <c r="AE140" s="10">
        <f>SUM(O140:V140)</f>
        <v/>
      </c>
      <c r="AF140" s="10">
        <f>SUM(W140:AC140)</f>
        <v/>
      </c>
      <c r="AG140" s="10">
        <f>SUM(O140:AD140)</f>
        <v/>
      </c>
      <c r="AH140" s="8">
        <f>IF(AG140="","",IF(AG140&lt;=26,"Very Poor",IF(AG140&lt;=38,"Poor",IF(AG140&lt;=50,"Fair",IF(AG140&lt;=62,"Good","Excellent")))))</f>
        <v/>
      </c>
      <c r="AI140" s="8" t="n"/>
      <c r="AJ140" s="8" t="n"/>
      <c r="AK140" s="8" t="n"/>
      <c r="AL140" s="8" t="n"/>
      <c r="AM140" s="10">
        <f>COUNTIF(AI140:AL140,"Y")</f>
        <v/>
      </c>
      <c r="AN140" s="8" t="n"/>
    </row>
    <row r="141">
      <c r="A141" s="8" t="inlineStr">
        <is>
          <t>TT-40</t>
        </is>
      </c>
      <c r="B141" s="8" t="inlineStr">
        <is>
          <t>TikTok</t>
        </is>
      </c>
      <c r="C141" s="8" t="inlineStr">
        <is>
          <t>physical activity guidelines</t>
        </is>
      </c>
      <c r="D141" s="8" t="inlineStr">
        <is>
          <t>https://www.tiktok.com/@littlecaliphs.hululangat/video/7496704071940721936</t>
        </is>
      </c>
      <c r="E141" s="8" t="inlineStr">
        <is>
          <t>Physical Development ⚽️  Focus : Gripping and Walking   #LCHL #littlecaliphshululangat #tadikamukminpintar #tadikahululangat #tadikalittlecaliphs #LittleCaliphs2025 #IslamicKindergarten #IslamicEnglishCreative #JomPandaikanAnakDiLittleCaliphs2025</t>
        </is>
      </c>
      <c r="F141" s="8" t="inlineStr">
        <is>
          <t>Little Caliphs Hulu Langat</t>
        </is>
      </c>
      <c r="G141" s="8" t="inlineStr">
        <is>
          <t>https://wa.me/60187689044</t>
        </is>
      </c>
      <c r="H141" s="9" t="inlineStr">
        <is>
          <t>2025-04-24</t>
        </is>
      </c>
      <c r="I141" s="10" t="n">
        <v>8659</v>
      </c>
      <c r="J141" s="10" t="n">
        <v>53</v>
      </c>
      <c r="K141" s="10" t="n">
        <v>26</v>
      </c>
      <c r="L141" s="10" t="n"/>
      <c r="M141" s="8" t="n"/>
      <c r="N141" s="8" t="inlineStr">
        <is>
          <t>Short video (&lt;60s)</t>
        </is>
      </c>
      <c r="O141" s="8" t="n"/>
      <c r="P141" s="8" t="n"/>
      <c r="Q141" s="8" t="n"/>
      <c r="R141" s="8" t="n"/>
      <c r="S141" s="8" t="n"/>
      <c r="T141" s="8" t="n"/>
      <c r="U141" s="8" t="n"/>
      <c r="V141" s="8" t="n"/>
      <c r="W141" s="8" t="n"/>
      <c r="X141" s="8" t="n"/>
      <c r="Y141" s="8" t="n"/>
      <c r="Z141" s="8" t="n"/>
      <c r="AA141" s="8" t="n"/>
      <c r="AB141" s="8" t="n"/>
      <c r="AC141" s="8" t="n"/>
      <c r="AD141" s="8" t="n"/>
      <c r="AE141" s="10">
        <f>SUM(O141:V141)</f>
        <v/>
      </c>
      <c r="AF141" s="10">
        <f>SUM(W141:AC141)</f>
        <v/>
      </c>
      <c r="AG141" s="10">
        <f>SUM(O141:AD141)</f>
        <v/>
      </c>
      <c r="AH141" s="8">
        <f>IF(AG141="","",IF(AG141&lt;=26,"Very Poor",IF(AG141&lt;=38,"Poor",IF(AG141&lt;=50,"Fair",IF(AG141&lt;=62,"Good","Excellent")))))</f>
        <v/>
      </c>
      <c r="AI141" s="8" t="n"/>
      <c r="AJ141" s="8" t="n"/>
      <c r="AK141" s="8" t="n"/>
      <c r="AL141" s="8" t="n"/>
      <c r="AM141" s="10">
        <f>COUNTIF(AI141:AL141,"Y")</f>
        <v/>
      </c>
      <c r="AN141" s="8" t="n"/>
    </row>
    <row r="142">
      <c r="A142" s="8" t="inlineStr">
        <is>
          <t>TT-41</t>
        </is>
      </c>
      <c r="B142" s="8" t="inlineStr">
        <is>
          <t>TikTok</t>
        </is>
      </c>
      <c r="C142" s="8" t="inlineStr">
        <is>
          <t>home workout routine</t>
        </is>
      </c>
      <c r="D142" s="8" t="inlineStr">
        <is>
          <t>https://www.tiktok.com/@lovevenuio1/video/7604632987061308690</t>
        </is>
      </c>
      <c r="E142" s="8" t="inlineStr">
        <is>
          <t>"3MINS SIMPLE ABS FULL WORKOUT AT HOME</t>
        </is>
      </c>
      <c r="F142" s="8" t="n"/>
      <c r="G142" s="8" t="inlineStr">
        <is>
          <t>💪🥰  no GYM? no PROBLEM. you can do this at home..  Most requested ABS WORKOUT FOR BEGGINNERS.. 💪💪🥰 try it.. 20seconds each workout 1 rep only..  #homeworkout  #notProfessional"</t>
        </is>
      </c>
      <c r="H142" s="9" t="inlineStr">
        <is>
          <t>IG uioloveven01</t>
        </is>
      </c>
      <c r="I142" s="10" t="n"/>
      <c r="J142" s="10" t="n"/>
      <c r="K142" s="10" t="n">
        <v>46300</v>
      </c>
      <c r="L142" s="10" t="n">
        <v>1263</v>
      </c>
      <c r="M142" s="8" t="n"/>
      <c r="N142" s="8" t="inlineStr">
        <is>
          <t>140</t>
        </is>
      </c>
      <c r="O142" s="8" t="n"/>
      <c r="P142" s="8" t="n"/>
      <c r="Q142" s="8" t="n"/>
      <c r="R142" s="8" t="n"/>
      <c r="S142" s="8" t="n"/>
      <c r="T142" s="8" t="n"/>
      <c r="U142" s="8" t="n"/>
      <c r="V142" s="8" t="n"/>
      <c r="W142" s="8" t="n"/>
      <c r="X142" s="8" t="n"/>
      <c r="Y142" s="8" t="n"/>
      <c r="Z142" s="8" t="n"/>
      <c r="AA142" s="8" t="n"/>
      <c r="AB142" s="8" t="n"/>
      <c r="AC142" s="8" t="n"/>
      <c r="AD142" s="8" t="n"/>
      <c r="AE142" s="10">
        <f>SUM(O142:V142)</f>
        <v/>
      </c>
      <c r="AF142" s="10">
        <f>SUM(W142:AC142)</f>
        <v/>
      </c>
      <c r="AG142" s="10">
        <f>SUM(O142:AD142)</f>
        <v/>
      </c>
      <c r="AH142" s="8">
        <f>IF(AG142="","",IF(AG142&lt;=26,"Very Poor",IF(AG142&lt;=38,"Poor",IF(AG142&lt;=50,"Fair",IF(AG142&lt;=62,"Good","Excellent")))))</f>
        <v/>
      </c>
      <c r="AI142" s="8" t="n"/>
      <c r="AJ142" s="8" t="n"/>
      <c r="AK142" s="8" t="n"/>
      <c r="AL142" s="8" t="n"/>
      <c r="AM142" s="10">
        <f>COUNTIF(AI142:AL142,"Y")</f>
        <v/>
      </c>
      <c r="AN142" s="8" t="n"/>
    </row>
    <row r="143">
      <c r="A143" s="8" t="inlineStr">
        <is>
          <t>TT-42</t>
        </is>
      </c>
      <c r="B143" s="8" t="inlineStr">
        <is>
          <t>TikTok</t>
        </is>
      </c>
      <c r="C143" s="8" t="inlineStr">
        <is>
          <t>home workout routine</t>
        </is>
      </c>
      <c r="D143" s="8" t="inlineStr">
        <is>
          <t>https://www.tiktok.com/@justtcocoo/video/7606595556332391694</t>
        </is>
      </c>
      <c r="E143" s="8" t="inlineStr">
        <is>
          <t>Strength x pilates 6 week challenge starts MONDAY!! Who’s ready?! Full workout in my bio! #fullbodyworkout #homeworkout #workoutmotivation #pilates #workoutsforwomen</t>
        </is>
      </c>
      <c r="F143" s="8" t="inlineStr">
        <is>
          <t>Courteney Fisher</t>
        </is>
      </c>
      <c r="G143" s="8" t="inlineStr">
        <is>
          <t>The Strength x Pilates Coach Creator of Fit with Coco STRENGTH X PILATES 6 WEEK CHALLENGE👇</t>
        </is>
      </c>
      <c r="H143" s="9" t="inlineStr">
        <is>
          <t>2026-02-14</t>
        </is>
      </c>
      <c r="I143" s="10" t="n">
        <v>1400000</v>
      </c>
      <c r="J143" s="10" t="n">
        <v>50600</v>
      </c>
      <c r="K143" s="10" t="n">
        <v>12400</v>
      </c>
      <c r="L143" s="10" t="n">
        <v>139</v>
      </c>
      <c r="M143" s="8" t="n"/>
      <c r="N143" s="8" t="inlineStr">
        <is>
          <t>Short video (&lt;60s)</t>
        </is>
      </c>
      <c r="O143" s="8" t="n"/>
      <c r="P143" s="8" t="n"/>
      <c r="Q143" s="8" t="n"/>
      <c r="R143" s="8" t="n"/>
      <c r="S143" s="8" t="n"/>
      <c r="T143" s="8" t="n"/>
      <c r="U143" s="8" t="n"/>
      <c r="V143" s="8" t="n"/>
      <c r="W143" s="8" t="n"/>
      <c r="X143" s="8" t="n"/>
      <c r="Y143" s="8" t="n"/>
      <c r="Z143" s="8" t="n"/>
      <c r="AA143" s="8" t="n"/>
      <c r="AB143" s="8" t="n"/>
      <c r="AC143" s="8" t="n"/>
      <c r="AD143" s="8" t="n"/>
      <c r="AE143" s="10">
        <f>SUM(O143:V143)</f>
        <v/>
      </c>
      <c r="AF143" s="10">
        <f>SUM(W143:AC143)</f>
        <v/>
      </c>
      <c r="AG143" s="10">
        <f>SUM(O143:AD143)</f>
        <v/>
      </c>
      <c r="AH143" s="8">
        <f>IF(AG143="","",IF(AG143&lt;=26,"Very Poor",IF(AG143&lt;=38,"Poor",IF(AG143&lt;=50,"Fair",IF(AG143&lt;=62,"Good","Excellent")))))</f>
        <v/>
      </c>
      <c r="AI143" s="8" t="n"/>
      <c r="AJ143" s="8" t="n"/>
      <c r="AK143" s="8" t="n"/>
      <c r="AL143" s="8" t="n"/>
      <c r="AM143" s="10">
        <f>COUNTIF(AI143:AL143,"Y")</f>
        <v/>
      </c>
      <c r="AN143" s="8" t="n"/>
    </row>
    <row r="144">
      <c r="A144" s="8" t="inlineStr">
        <is>
          <t>TT-43</t>
        </is>
      </c>
      <c r="B144" s="8" t="inlineStr">
        <is>
          <t>TikTok</t>
        </is>
      </c>
      <c r="C144" s="8" t="inlineStr">
        <is>
          <t>home workout routine</t>
        </is>
      </c>
      <c r="D144" s="8" t="inlineStr">
        <is>
          <t>https://www.tiktok.com/@diana.and.vlog/video/7607867418240699655</t>
        </is>
      </c>
      <c r="E144" s="8" t="inlineStr">
        <is>
          <t>"#fit#fitness#workout#homeworkout#wellness  home workout</t>
        </is>
      </c>
      <c r="F144" s="8" t="inlineStr">
        <is>
          <t>lazy workout</t>
        </is>
      </c>
      <c r="G144" s="8" t="inlineStr">
        <is>
          <t>yoga</t>
        </is>
      </c>
      <c r="H144" s="9" t="inlineStr">
        <is>
          <t>pilates at home</t>
        </is>
      </c>
      <c r="I144" s="10" t="n"/>
      <c r="J144" s="10" t="n"/>
      <c r="K144" s="10" t="n"/>
      <c r="L144" s="10" t="n"/>
      <c r="M144" s="8" t="n"/>
      <c r="N144" s="8" t="inlineStr">
        <is>
          <t>Wellness</t>
        </is>
      </c>
      <c r="O144" s="8" t="n"/>
      <c r="P144" s="8" t="n"/>
      <c r="Q144" s="8" t="n"/>
      <c r="R144" s="8" t="n"/>
      <c r="S144" s="8" t="n"/>
      <c r="T144" s="8" t="n"/>
      <c r="U144" s="8" t="n"/>
      <c r="V144" s="8" t="n"/>
      <c r="W144" s="8" t="n"/>
      <c r="X144" s="8" t="n"/>
      <c r="Y144" s="8" t="n"/>
      <c r="Z144" s="8" t="n"/>
      <c r="AA144" s="8" t="n"/>
      <c r="AB144" s="8" t="n"/>
      <c r="AC144" s="8" t="n"/>
      <c r="AD144" s="8" t="n"/>
      <c r="AE144" s="10">
        <f>SUM(O144:V144)</f>
        <v/>
      </c>
      <c r="AF144" s="10">
        <f>SUM(W144:AC144)</f>
        <v/>
      </c>
      <c r="AG144" s="10">
        <f>SUM(O144:AD144)</f>
        <v/>
      </c>
      <c r="AH144" s="8">
        <f>IF(AG144="","",IF(AG144&lt;=26,"Very Poor",IF(AG144&lt;=38,"Poor",IF(AG144&lt;=50,"Fair",IF(AG144&lt;=62,"Good","Excellent")))))</f>
        <v/>
      </c>
      <c r="AI144" s="8" t="n"/>
      <c r="AJ144" s="8" t="n"/>
      <c r="AK144" s="8" t="n"/>
      <c r="AL144" s="8" t="n"/>
      <c r="AM144" s="10">
        <f>COUNTIF(AI144:AL144,"Y")</f>
        <v/>
      </c>
      <c r="AN144" s="8" t="n"/>
    </row>
    <row r="145">
      <c r="A145" s="8" t="inlineStr">
        <is>
          <t>TT-44</t>
        </is>
      </c>
      <c r="B145" s="8" t="inlineStr">
        <is>
          <t>TikTok</t>
        </is>
      </c>
      <c r="C145" s="8" t="inlineStr">
        <is>
          <t>home workout routine</t>
        </is>
      </c>
      <c r="D145" s="8" t="inlineStr">
        <is>
          <t>https://www.tiktok.com/@you1stlondon/video/7609351451659291926</t>
        </is>
      </c>
      <c r="E145" s="8" t="inlineStr">
        <is>
          <t>Save this abs routine and try at home 🔥 #abs #homeworkout #absworkout #fyp #viral</t>
        </is>
      </c>
      <c r="F145" s="8" t="inlineStr">
        <is>
          <t>You1stlondon</t>
        </is>
      </c>
      <c r="G145" s="8" t="inlineStr">
        <is>
          <t>💪🏾 Fitness Model @Frank  🎥 Content Creator 📧: hello@you1stlondon.co.uk</t>
        </is>
      </c>
      <c r="H145" s="9" t="inlineStr">
        <is>
          <t>2026-02-21</t>
        </is>
      </c>
      <c r="I145" s="10" t="n">
        <v>102000</v>
      </c>
      <c r="J145" s="10" t="n">
        <v>5314</v>
      </c>
      <c r="K145" s="10" t="n">
        <v>2457</v>
      </c>
      <c r="L145" s="10" t="n">
        <v>87</v>
      </c>
      <c r="M145" s="8" t="n"/>
      <c r="N145" s="8" t="inlineStr">
        <is>
          <t>Short video (&lt;60s)</t>
        </is>
      </c>
      <c r="O145" s="8" t="n"/>
      <c r="P145" s="8" t="n"/>
      <c r="Q145" s="8" t="n"/>
      <c r="R145" s="8" t="n"/>
      <c r="S145" s="8" t="n"/>
      <c r="T145" s="8" t="n"/>
      <c r="U145" s="8" t="n"/>
      <c r="V145" s="8" t="n"/>
      <c r="W145" s="8" t="n"/>
      <c r="X145" s="8" t="n"/>
      <c r="Y145" s="8" t="n"/>
      <c r="Z145" s="8" t="n"/>
      <c r="AA145" s="8" t="n"/>
      <c r="AB145" s="8" t="n"/>
      <c r="AC145" s="8" t="n"/>
      <c r="AD145" s="8" t="n"/>
      <c r="AE145" s="10">
        <f>SUM(O145:V145)</f>
        <v/>
      </c>
      <c r="AF145" s="10">
        <f>SUM(W145:AC145)</f>
        <v/>
      </c>
      <c r="AG145" s="10">
        <f>SUM(O145:AD145)</f>
        <v/>
      </c>
      <c r="AH145" s="8">
        <f>IF(AG145="","",IF(AG145&lt;=26,"Very Poor",IF(AG145&lt;=38,"Poor",IF(AG145&lt;=50,"Fair",IF(AG145&lt;=62,"Good","Excellent")))))</f>
        <v/>
      </c>
      <c r="AI145" s="8" t="n"/>
      <c r="AJ145" s="8" t="n"/>
      <c r="AK145" s="8" t="n"/>
      <c r="AL145" s="8" t="n"/>
      <c r="AM145" s="10">
        <f>COUNTIF(AI145:AL145,"Y")</f>
        <v/>
      </c>
      <c r="AN145" s="8" t="n"/>
    </row>
    <row r="146">
      <c r="A146" s="8" t="inlineStr">
        <is>
          <t>TT-45</t>
        </is>
      </c>
      <c r="B146" s="8" t="inlineStr">
        <is>
          <t>TikTok</t>
        </is>
      </c>
      <c r="C146" s="8" t="inlineStr">
        <is>
          <t>home workout routine</t>
        </is>
      </c>
      <c r="D146" s="8" t="inlineStr">
        <is>
          <t>https://www.tiktok.com/@sashalusslover/video/7606362521041194262</t>
        </is>
      </c>
      <c r="E146" s="8" t="inlineStr">
        <is>
          <t>the workoutsplit for toned legs at home!! remember about rest days💗 hoodie: @SCUFFERS #tonedlegs #legsworkout #workoutsplit #athomeworkout #creatorsearchinsights</t>
        </is>
      </c>
      <c r="F146" s="8" t="inlineStr">
        <is>
          <t>🧘🏼‍♀️🎀</t>
        </is>
      </c>
      <c r="G146" s="8" t="inlineStr">
        <is>
          <t>Pilates Girl | Fitness &amp; Wellness 💌: collabnikolaspilates@gmail.com            full vids on YT angel 💕✨</t>
        </is>
      </c>
      <c r="H146" s="9" t="inlineStr">
        <is>
          <t>2026-02-13</t>
        </is>
      </c>
      <c r="I146" s="10" t="n">
        <v>441100</v>
      </c>
      <c r="J146" s="10" t="n">
        <v>29100</v>
      </c>
      <c r="K146" s="10" t="n">
        <v>916</v>
      </c>
      <c r="L146" s="10" t="n">
        <v>223</v>
      </c>
      <c r="M146" s="8" t="n"/>
      <c r="N146" s="8" t="inlineStr">
        <is>
          <t>Short video (&lt;60s)</t>
        </is>
      </c>
      <c r="O146" s="8" t="n"/>
      <c r="P146" s="8" t="n"/>
      <c r="Q146" s="8" t="n"/>
      <c r="R146" s="8" t="n"/>
      <c r="S146" s="8" t="n"/>
      <c r="T146" s="8" t="n"/>
      <c r="U146" s="8" t="n"/>
      <c r="V146" s="8" t="n"/>
      <c r="W146" s="8" t="n"/>
      <c r="X146" s="8" t="n"/>
      <c r="Y146" s="8" t="n"/>
      <c r="Z146" s="8" t="n"/>
      <c r="AA146" s="8" t="n"/>
      <c r="AB146" s="8" t="n"/>
      <c r="AC146" s="8" t="n"/>
      <c r="AD146" s="8" t="n"/>
      <c r="AE146" s="10">
        <f>SUM(O146:V146)</f>
        <v/>
      </c>
      <c r="AF146" s="10">
        <f>SUM(W146:AC146)</f>
        <v/>
      </c>
      <c r="AG146" s="10">
        <f>SUM(O146:AD146)</f>
        <v/>
      </c>
      <c r="AH146" s="8">
        <f>IF(AG146="","",IF(AG146&lt;=26,"Very Poor",IF(AG146&lt;=38,"Poor",IF(AG146&lt;=50,"Fair",IF(AG146&lt;=62,"Good","Excellent")))))</f>
        <v/>
      </c>
      <c r="AI146" s="8" t="n"/>
      <c r="AJ146" s="8" t="n"/>
      <c r="AK146" s="8" t="n"/>
      <c r="AL146" s="8" t="n"/>
      <c r="AM146" s="10">
        <f>COUNTIF(AI146:AL146,"Y")</f>
        <v/>
      </c>
      <c r="AN146" s="8" t="n"/>
    </row>
    <row r="147">
      <c r="A147" s="8" t="inlineStr">
        <is>
          <t>TT-46</t>
        </is>
      </c>
      <c r="B147" s="8" t="inlineStr">
        <is>
          <t>TikTok</t>
        </is>
      </c>
      <c r="C147" s="8" t="inlineStr">
        <is>
          <t>home workout routine</t>
        </is>
      </c>
      <c r="D147" s="8" t="inlineStr">
        <is>
          <t>https://www.tiktok.com/@ccristina_fit/video/7607839990176943390</t>
        </is>
      </c>
      <c r="E147" s="8" t="inlineStr">
        <is>
          <t>"TWO dumbbell-only full body workouts + ONE deep core workout 💖  I get it! As a busy mom</t>
        </is>
      </c>
      <c r="F147" s="8" t="inlineStr">
        <is>
          <t>spending hours in the gym may not be possible but if you have a pair of dumbbells</t>
        </is>
      </c>
      <c r="G147" s="8" t="inlineStr">
        <is>
          <t>you can do this routine at home. 🙌  I LOVE the deep core day designed to strengthen your transverse abdominis (deep core) which acts like a deep</t>
        </is>
      </c>
      <c r="H147" s="9" t="inlineStr">
        <is>
          <t>internal “corset” to stabilize the spine</t>
        </is>
      </c>
      <c r="I147" s="10" t="n"/>
      <c r="J147" s="10" t="n"/>
      <c r="K147" s="10" t="n"/>
      <c r="L147" s="10" t="n"/>
      <c r="M147" s="8" t="n"/>
      <c r="N147" s="8" t="inlineStr">
        <is>
          <t>2026-02-17T14:25:35.000Z</t>
        </is>
      </c>
      <c r="O147" s="8" t="n"/>
      <c r="P147" s="8" t="n"/>
      <c r="Q147" s="8" t="n"/>
      <c r="R147" s="8" t="n"/>
      <c r="S147" s="8" t="n"/>
      <c r="T147" s="8" t="n"/>
      <c r="U147" s="8" t="n"/>
      <c r="V147" s="8" t="n"/>
      <c r="W147" s="8" t="n"/>
      <c r="X147" s="8" t="n"/>
      <c r="Y147" s="8" t="n"/>
      <c r="Z147" s="8" t="n"/>
      <c r="AA147" s="8" t="n"/>
      <c r="AB147" s="8" t="n"/>
      <c r="AC147" s="8" t="n"/>
      <c r="AD147" s="8" t="n"/>
      <c r="AE147" s="10">
        <f>SUM(O147:V147)</f>
        <v/>
      </c>
      <c r="AF147" s="10">
        <f>SUM(W147:AC147)</f>
        <v/>
      </c>
      <c r="AG147" s="10">
        <f>SUM(O147:AD147)</f>
        <v/>
      </c>
      <c r="AH147" s="8">
        <f>IF(AG147="","",IF(AG147&lt;=26,"Very Poor",IF(AG147&lt;=38,"Poor",IF(AG147&lt;=50,"Fair",IF(AG147&lt;=62,"Good","Excellent")))))</f>
        <v/>
      </c>
      <c r="AI147" s="8" t="n"/>
      <c r="AJ147" s="8" t="n"/>
      <c r="AK147" s="8" t="n"/>
      <c r="AL147" s="8" t="n"/>
      <c r="AM147" s="10">
        <f>COUNTIF(AI147:AL147,"Y")</f>
        <v/>
      </c>
      <c r="AN147" s="8" t="n"/>
    </row>
    <row r="148">
      <c r="A148" s="8" t="inlineStr">
        <is>
          <t>TT-47</t>
        </is>
      </c>
      <c r="B148" s="8" t="inlineStr">
        <is>
          <t>TikTok</t>
        </is>
      </c>
      <c r="C148" s="8" t="inlineStr">
        <is>
          <t>home workout routine</t>
        </is>
      </c>
      <c r="D148" s="8" t="inlineStr">
        <is>
          <t>https://www.tiktok.com/@arielyu.fit/video/7610468048700525838</t>
        </is>
      </c>
      <c r="E148" s="8" t="inlineStr">
        <is>
          <t>"3-minute full body workout. Just press play and move with us @Be Simple weaty</t>
        </is>
      </c>
      <c r="F148" s="8" t="inlineStr">
        <is>
          <t>and perfect for burning fat while sculpting full body  #homeworkout #workoutathome #gluteworkout #legday #lowerbodyworkout"</t>
        </is>
      </c>
      <c r="G148" s="8" t="inlineStr">
        <is>
          <t>Ariel Yu</t>
        </is>
      </c>
      <c r="H148" s="9" t="inlineStr">
        <is>
          <t>ArielYuFitTT@gmail.com</t>
        </is>
      </c>
      <c r="I148" s="10" t="n"/>
      <c r="J148" s="10" t="n">
        <v>1500000</v>
      </c>
      <c r="K148" s="10" t="n">
        <v>38100</v>
      </c>
      <c r="L148" s="10" t="n">
        <v>5276</v>
      </c>
      <c r="M148" s="8" t="n"/>
      <c r="N148" s="8" t="inlineStr">
        <is>
          <t>94</t>
        </is>
      </c>
      <c r="O148" s="8" t="n"/>
      <c r="P148" s="8" t="n"/>
      <c r="Q148" s="8" t="n"/>
      <c r="R148" s="8" t="n"/>
      <c r="S148" s="8" t="n"/>
      <c r="T148" s="8" t="n"/>
      <c r="U148" s="8" t="n"/>
      <c r="V148" s="8" t="n"/>
      <c r="W148" s="8" t="n"/>
      <c r="X148" s="8" t="n"/>
      <c r="Y148" s="8" t="n"/>
      <c r="Z148" s="8" t="n"/>
      <c r="AA148" s="8" t="n"/>
      <c r="AB148" s="8" t="n"/>
      <c r="AC148" s="8" t="n"/>
      <c r="AD148" s="8" t="n"/>
      <c r="AE148" s="10">
        <f>SUM(O148:V148)</f>
        <v/>
      </c>
      <c r="AF148" s="10">
        <f>SUM(W148:AC148)</f>
        <v/>
      </c>
      <c r="AG148" s="10">
        <f>SUM(O148:AD148)</f>
        <v/>
      </c>
      <c r="AH148" s="8">
        <f>IF(AG148="","",IF(AG148&lt;=26,"Very Poor",IF(AG148&lt;=38,"Poor",IF(AG148&lt;=50,"Fair",IF(AG148&lt;=62,"Good","Excellent")))))</f>
        <v/>
      </c>
      <c r="AI148" s="8" t="n"/>
      <c r="AJ148" s="8" t="n"/>
      <c r="AK148" s="8" t="n"/>
      <c r="AL148" s="8" t="n"/>
      <c r="AM148" s="10">
        <f>COUNTIF(AI148:AL148,"Y")</f>
        <v/>
      </c>
      <c r="AN148" s="8" t="n"/>
    </row>
    <row r="149">
      <c r="A149" s="8" t="inlineStr">
        <is>
          <t>TT-48</t>
        </is>
      </c>
      <c r="B149" s="8" t="inlineStr">
        <is>
          <t>TikTok</t>
        </is>
      </c>
      <c r="C149" s="8" t="inlineStr">
        <is>
          <t>home workout routine</t>
        </is>
      </c>
      <c r="D149" s="8" t="inlineStr">
        <is>
          <t>https://www.tiktok.com/@stefano_bertola/video/7606050185525054742</t>
        </is>
      </c>
      <c r="E149" s="8" t="inlineStr">
        <is>
          <t>How I got 6 Pack at Home✅  Code STECALI on @gornation for 10% discount and STECALI5 on @gymbeam.it for 5% discount  #calisthenics #calisthenicsworkout #abs #homeworkouts #fitness</t>
        </is>
      </c>
      <c r="F149" s="8" t="inlineStr">
        <is>
          <t>ste_calisthenics</t>
        </is>
      </c>
      <c r="G149" s="8" t="inlineStr">
        <is>
          <t>• 🇮🇹18 • Tutorial calisthenici💪 •@gymbeam.it / STECALI5 x 5% di sconto •@gornation / codice STECALI x 10% di sconto</t>
        </is>
      </c>
      <c r="H149" s="9" t="inlineStr">
        <is>
          <t>2026-02-12</t>
        </is>
      </c>
      <c r="I149" s="10" t="n">
        <v>238400</v>
      </c>
      <c r="J149" s="10" t="n">
        <v>15400</v>
      </c>
      <c r="K149" s="10" t="n">
        <v>1166</v>
      </c>
      <c r="L149" s="10" t="n">
        <v>89</v>
      </c>
      <c r="M149" s="8" t="n"/>
      <c r="N149" s="8" t="inlineStr">
        <is>
          <t>Short video (&lt;60s)</t>
        </is>
      </c>
      <c r="O149" s="8" t="n"/>
      <c r="P149" s="8" t="n"/>
      <c r="Q149" s="8" t="n"/>
      <c r="R149" s="8" t="n"/>
      <c r="S149" s="8" t="n"/>
      <c r="T149" s="8" t="n"/>
      <c r="U149" s="8" t="n"/>
      <c r="V149" s="8" t="n"/>
      <c r="W149" s="8" t="n"/>
      <c r="X149" s="8" t="n"/>
      <c r="Y149" s="8" t="n"/>
      <c r="Z149" s="8" t="n"/>
      <c r="AA149" s="8" t="n"/>
      <c r="AB149" s="8" t="n"/>
      <c r="AC149" s="8" t="n"/>
      <c r="AD149" s="8" t="n"/>
      <c r="AE149" s="10">
        <f>SUM(O149:V149)</f>
        <v/>
      </c>
      <c r="AF149" s="10">
        <f>SUM(W149:AC149)</f>
        <v/>
      </c>
      <c r="AG149" s="10">
        <f>SUM(O149:AD149)</f>
        <v/>
      </c>
      <c r="AH149" s="8">
        <f>IF(AG149="","",IF(AG149&lt;=26,"Very Poor",IF(AG149&lt;=38,"Poor",IF(AG149&lt;=50,"Fair",IF(AG149&lt;=62,"Good","Excellent")))))</f>
        <v/>
      </c>
      <c r="AI149" s="8" t="n"/>
      <c r="AJ149" s="8" t="n"/>
      <c r="AK149" s="8" t="n"/>
      <c r="AL149" s="8" t="n"/>
      <c r="AM149" s="10">
        <f>COUNTIF(AI149:AL149,"Y")</f>
        <v/>
      </c>
      <c r="AN149" s="8" t="n"/>
    </row>
    <row r="150">
      <c r="A150" s="8" t="inlineStr">
        <is>
          <t>TT-49</t>
        </is>
      </c>
      <c r="B150" s="8" t="inlineStr">
        <is>
          <t>TikTok</t>
        </is>
      </c>
      <c r="C150" s="8" t="inlineStr">
        <is>
          <t>home workout routine</t>
        </is>
      </c>
      <c r="D150" s="8" t="inlineStr">
        <is>
          <t>https://www.tiktok.com/@romantrains/video/7577833006724074774</t>
        </is>
      </c>
      <c r="E150" s="8" t="inlineStr">
        <is>
          <t>"FULL ABS (BEGINNER) 💪 Home workout</t>
        </is>
      </c>
      <c r="F150" s="8" t="inlineStr">
        <is>
          <t>no equipment ✅  Exercises: 1️⃣ Knee Tuck (3x8-10 reps) 2️⃣ Heel Taps (3x12-15 reps) 3️⃣ Crunch Reach (3x8-10 reps) 4️⃣ Flutter Kicks (3x20 sec.) 5️⃣ Plank to Knee (3x 10-12 reps)  #homeworkout #absworkout #coreworkout #beginnerworkout #noequipmentworkout"</t>
        </is>
      </c>
      <c r="G150" s="8" t="inlineStr">
        <is>
          <t>StrongWithRoman</t>
        </is>
      </c>
      <c r="H150" s="9" t="inlineStr">
        <is>
          <t>"💪 Build muscle at Home ✅ Quick &amp; effective training 🔥1:1 Online Coaching (DM ""COACH"")  📩 starkmitroman@gmail.com"</t>
        </is>
      </c>
      <c r="I150" s="10" t="n"/>
      <c r="J150" s="10" t="n">
        <v>1700000</v>
      </c>
      <c r="K150" s="10" t="n">
        <v>46400</v>
      </c>
      <c r="L150" s="10" t="n">
        <v>10100</v>
      </c>
      <c r="M150" s="8" t="n"/>
      <c r="N150" s="8" t="inlineStr">
        <is>
          <t>257</t>
        </is>
      </c>
      <c r="O150" s="8" t="n"/>
      <c r="P150" s="8" t="n"/>
      <c r="Q150" s="8" t="n"/>
      <c r="R150" s="8" t="n"/>
      <c r="S150" s="8" t="n"/>
      <c r="T150" s="8" t="n"/>
      <c r="U150" s="8" t="n"/>
      <c r="V150" s="8" t="n"/>
      <c r="W150" s="8" t="n"/>
      <c r="X150" s="8" t="n"/>
      <c r="Y150" s="8" t="n"/>
      <c r="Z150" s="8" t="n"/>
      <c r="AA150" s="8" t="n"/>
      <c r="AB150" s="8" t="n"/>
      <c r="AC150" s="8" t="n"/>
      <c r="AD150" s="8" t="n"/>
      <c r="AE150" s="10">
        <f>SUM(O150:V150)</f>
        <v/>
      </c>
      <c r="AF150" s="10">
        <f>SUM(W150:AC150)</f>
        <v/>
      </c>
      <c r="AG150" s="10">
        <f>SUM(O150:AD150)</f>
        <v/>
      </c>
      <c r="AH150" s="8">
        <f>IF(AG150="","",IF(AG150&lt;=26,"Very Poor",IF(AG150&lt;=38,"Poor",IF(AG150&lt;=50,"Fair",IF(AG150&lt;=62,"Good","Excellent")))))</f>
        <v/>
      </c>
      <c r="AI150" s="8" t="n"/>
      <c r="AJ150" s="8" t="n"/>
      <c r="AK150" s="8" t="n"/>
      <c r="AL150" s="8" t="n"/>
      <c r="AM150" s="10">
        <f>COUNTIF(AI150:AL150,"Y")</f>
        <v/>
      </c>
      <c r="AN150" s="8" t="n"/>
    </row>
    <row r="151">
      <c r="A151" s="8" t="inlineStr">
        <is>
          <t>TT-50</t>
        </is>
      </c>
      <c r="B151" s="8" t="inlineStr">
        <is>
          <t>TikTok</t>
        </is>
      </c>
      <c r="C151" s="8" t="inlineStr">
        <is>
          <t>home workout routine</t>
        </is>
      </c>
      <c r="D151" s="8" t="inlineStr">
        <is>
          <t>https://www.tiktok.com/@naturallydmarie/video/7612456732576451854</t>
        </is>
      </c>
      <c r="E151" s="8" t="inlineStr">
        <is>
          <t>March=Abs 100 reps every day for 30 days. Week 1! Who’s joining me? #30daychallenge #abchallenge #abworkout #athomeworkout</t>
        </is>
      </c>
      <c r="F151" s="8" t="inlineStr">
        <is>
          <t>naturallydmarie</t>
        </is>
      </c>
      <c r="G151" s="8" t="inlineStr">
        <is>
          <t>"Mother</t>
        </is>
      </c>
      <c r="H151" s="9" t="inlineStr">
        <is>
          <t>Fitness coach</t>
        </is>
      </c>
      <c r="I151" s="10" t="n"/>
      <c r="J151" s="10" t="n"/>
      <c r="K151" s="10" t="n">
        <v>1182</v>
      </c>
      <c r="L151" s="10" t="n">
        <v>99</v>
      </c>
      <c r="M151" s="8" t="n"/>
      <c r="N151" s="8" t="inlineStr">
        <is>
          <t>17</t>
        </is>
      </c>
      <c r="O151" s="8" t="n"/>
      <c r="P151" s="8" t="n"/>
      <c r="Q151" s="8" t="n"/>
      <c r="R151" s="8" t="n"/>
      <c r="S151" s="8" t="n"/>
      <c r="T151" s="8" t="n"/>
      <c r="U151" s="8" t="n"/>
      <c r="V151" s="8" t="n"/>
      <c r="W151" s="8" t="n"/>
      <c r="X151" s="8" t="n"/>
      <c r="Y151" s="8" t="n"/>
      <c r="Z151" s="8" t="n"/>
      <c r="AA151" s="8" t="n"/>
      <c r="AB151" s="8" t="n"/>
      <c r="AC151" s="8" t="n"/>
      <c r="AD151" s="8" t="n"/>
      <c r="AE151" s="10">
        <f>SUM(O151:V151)</f>
        <v/>
      </c>
      <c r="AF151" s="10">
        <f>SUM(W151:AC151)</f>
        <v/>
      </c>
      <c r="AG151" s="10">
        <f>SUM(O151:AD151)</f>
        <v/>
      </c>
      <c r="AH151" s="8">
        <f>IF(AG151="","",IF(AG151&lt;=26,"Very Poor",IF(AG151&lt;=38,"Poor",IF(AG151&lt;=50,"Fair",IF(AG151&lt;=62,"Good","Excellent")))))</f>
        <v/>
      </c>
      <c r="AI151" s="8" t="n"/>
      <c r="AJ151" s="8" t="n"/>
      <c r="AK151" s="8" t="n"/>
      <c r="AL151" s="8" t="n"/>
      <c r="AM151" s="10">
        <f>COUNTIF(AI151:AL151,"Y")</f>
        <v/>
      </c>
      <c r="AN151" s="8" t="n"/>
    </row>
    <row r="152">
      <c r="A152" s="11" t="inlineStr">
        <is>
          <t>IG-01</t>
        </is>
      </c>
      <c r="B152" s="11" t="inlineStr">
        <is>
          <t>Instagram</t>
        </is>
      </c>
      <c r="C152" s="11" t="inlineStr">
        <is>
          <t>how to start exercising</t>
        </is>
      </c>
      <c r="D152" s="11" t="inlineStr">
        <is>
          <t>https://www.instagram.com/p/DTN3lPlFMeo/</t>
        </is>
      </c>
      <c r="E152" s="11" t="inlineStr">
        <is>
          <t>Soooo true. I can’t explain it, but that’s how it works. 🤷🏾‍♀️  #startexercising  #starttoday  #moreenergy  #feelstronger #bettersleep</t>
        </is>
      </c>
      <c r="F152" s="11" t="inlineStr">
        <is>
          <t>FitlifewithTheresa</t>
        </is>
      </c>
      <c r="G152" s="11" t="n"/>
      <c r="H152" s="12" t="inlineStr">
        <is>
          <t>2026-01-07</t>
        </is>
      </c>
      <c r="I152" s="13" t="n"/>
      <c r="J152" s="13" t="n">
        <v>2</v>
      </c>
      <c r="K152" s="13" t="n"/>
      <c r="L152" s="13" t="n"/>
      <c r="M152" s="11" t="n"/>
      <c r="N152" s="11" t="inlineStr">
        <is>
          <t>Carousel</t>
        </is>
      </c>
      <c r="O152" s="11" t="n"/>
      <c r="P152" s="11" t="n"/>
      <c r="Q152" s="11" t="n"/>
      <c r="R152" s="11" t="n"/>
      <c r="S152" s="11" t="n"/>
      <c r="T152" s="11" t="n"/>
      <c r="U152" s="11" t="n"/>
      <c r="V152" s="11" t="n"/>
      <c r="W152" s="11" t="n"/>
      <c r="X152" s="11" t="n"/>
      <c r="Y152" s="11" t="n"/>
      <c r="Z152" s="11" t="n"/>
      <c r="AA152" s="11" t="n"/>
      <c r="AB152" s="11" t="n"/>
      <c r="AC152" s="11" t="n"/>
      <c r="AD152" s="11" t="n"/>
      <c r="AE152" s="13">
        <f>SUM(O152:V152)</f>
        <v/>
      </c>
      <c r="AF152" s="13">
        <f>SUM(W152:AC152)</f>
        <v/>
      </c>
      <c r="AG152" s="13">
        <f>SUM(O152:AD152)</f>
        <v/>
      </c>
      <c r="AH152" s="11">
        <f>IF(AG152="","",IF(AG152&lt;=26,"Very Poor",IF(AG152&lt;=38,"Poor",IF(AG152&lt;=50,"Fair",IF(AG152&lt;=62,"Good","Excellent")))))</f>
        <v/>
      </c>
      <c r="AI152" s="11" t="n"/>
      <c r="AJ152" s="11" t="n"/>
      <c r="AK152" s="11" t="n"/>
      <c r="AL152" s="11" t="n"/>
      <c r="AM152" s="13">
        <f>COUNTIF(AI152:AL152,"Y")</f>
        <v/>
      </c>
      <c r="AN152" s="11" t="n"/>
    </row>
    <row r="153">
      <c r="A153" s="11" t="inlineStr">
        <is>
          <t>IG-02</t>
        </is>
      </c>
      <c r="B153" s="11" t="inlineStr">
        <is>
          <t>Instagram</t>
        </is>
      </c>
      <c r="C153" s="11" t="inlineStr">
        <is>
          <t>how to start exercising</t>
        </is>
      </c>
      <c r="D153" s="11" t="inlineStr">
        <is>
          <t>https://www.instagram.com/p/DSnxwnaEpH7/</t>
        </is>
      </c>
      <c r="E153" s="11" t="inlineStr">
        <is>
          <t>💥 FREE 5-Day Jumpstart Tips Guide - Comment “tips” below and I’ll send you the link for free!   Getting started with exercising again can be SO daunting, but here’s what ALWAYS works best:   ✅ Go for a 10-15 min walk every day to get your momentum going  ✅ One core exercise a day (choose from birddogs, planks, bridges, dead bugs…)  ✅ One posture exercise or stretch a day (rotational reaches, doorway chest stretch, upper back stretch…)  ✅ Maybe start adding in one balance exercise a day (single</t>
        </is>
      </c>
      <c r="F153" s="11" t="inlineStr">
        <is>
          <t>Megan Dahlman</t>
        </is>
      </c>
      <c r="G153" s="11" t="n"/>
      <c r="H153" s="12" t="inlineStr">
        <is>
          <t>2025-12-23</t>
        </is>
      </c>
      <c r="I153" s="13" t="n"/>
      <c r="J153" s="13" t="n">
        <v>1174</v>
      </c>
      <c r="K153" s="13" t="n"/>
      <c r="L153" s="13" t="n">
        <v>210</v>
      </c>
      <c r="M153" s="11" t="n"/>
      <c r="N153" s="11" t="inlineStr">
        <is>
          <t>Carousel</t>
        </is>
      </c>
      <c r="O153" s="11" t="n"/>
      <c r="P153" s="11" t="n"/>
      <c r="Q153" s="11" t="n"/>
      <c r="R153" s="11" t="n"/>
      <c r="S153" s="11" t="n"/>
      <c r="T153" s="11" t="n"/>
      <c r="U153" s="11" t="n"/>
      <c r="V153" s="11" t="n"/>
      <c r="W153" s="11" t="n"/>
      <c r="X153" s="11" t="n"/>
      <c r="Y153" s="11" t="n"/>
      <c r="Z153" s="11" t="n"/>
      <c r="AA153" s="11" t="n"/>
      <c r="AB153" s="11" t="n"/>
      <c r="AC153" s="11" t="n"/>
      <c r="AD153" s="11" t="n"/>
      <c r="AE153" s="13">
        <f>SUM(O153:V153)</f>
        <v/>
      </c>
      <c r="AF153" s="13">
        <f>SUM(W153:AC153)</f>
        <v/>
      </c>
      <c r="AG153" s="13">
        <f>SUM(O153:AD153)</f>
        <v/>
      </c>
      <c r="AH153" s="11">
        <f>IF(AG153="","",IF(AG153&lt;=26,"Very Poor",IF(AG153&lt;=38,"Poor",IF(AG153&lt;=50,"Fair",IF(AG153&lt;=62,"Good","Excellent")))))</f>
        <v/>
      </c>
      <c r="AI153" s="11" t="n"/>
      <c r="AJ153" s="11" t="n"/>
      <c r="AK153" s="11" t="n"/>
      <c r="AL153" s="11" t="n"/>
      <c r="AM153" s="13">
        <f>COUNTIF(AI153:AL153,"Y")</f>
        <v/>
      </c>
      <c r="AN153" s="11" t="n"/>
    </row>
    <row r="154">
      <c r="A154" s="11" t="inlineStr">
        <is>
          <t>IG-03</t>
        </is>
      </c>
      <c r="B154" s="11" t="inlineStr">
        <is>
          <t>Instagram</t>
        </is>
      </c>
      <c r="C154" s="11" t="inlineStr">
        <is>
          <t>how to start exercising</t>
        </is>
      </c>
      <c r="D154" s="11" t="inlineStr">
        <is>
          <t>https://www.instagram.com/p/DSccObbEvtc/</t>
        </is>
      </c>
      <c r="E154" s="11" t="inlineStr">
        <is>
          <t>The "Fresh Start" Vibe ✨  Ready to trade "resolution pressure" for "consistent progress"? Enrollment for the MAT 2 DREAMS FITNESS &amp; YOGA by Sophia New Year Batch is officially open! ​Whether you're looking to build strength, find your flow, or simply carve out 45 minutes of peace in a busy day—get your mat ready. ​ DM on whatsapp for Joining the class  👉9074429086. #newyearyoga #newyearfitness #onlinefitness #freshstyle #startexercising</t>
        </is>
      </c>
      <c r="F154" s="11" t="inlineStr">
        <is>
          <t>Mattodreams Bysophia</t>
        </is>
      </c>
      <c r="G154" s="11" t="n"/>
      <c r="H154" s="12" t="inlineStr">
        <is>
          <t>2025-12-19</t>
        </is>
      </c>
      <c r="I154" s="13" t="n"/>
      <c r="J154" s="13" t="n"/>
      <c r="K154" s="13" t="n"/>
      <c r="L154" s="13" t="n"/>
      <c r="M154" s="11" t="n"/>
      <c r="N154" s="11" t="inlineStr">
        <is>
          <t>Carousel</t>
        </is>
      </c>
      <c r="O154" s="11" t="n"/>
      <c r="P154" s="11" t="n"/>
      <c r="Q154" s="11" t="n"/>
      <c r="R154" s="11" t="n"/>
      <c r="S154" s="11" t="n"/>
      <c r="T154" s="11" t="n"/>
      <c r="U154" s="11" t="n"/>
      <c r="V154" s="11" t="n"/>
      <c r="W154" s="11" t="n"/>
      <c r="X154" s="11" t="n"/>
      <c r="Y154" s="11" t="n"/>
      <c r="Z154" s="11" t="n"/>
      <c r="AA154" s="11" t="n"/>
      <c r="AB154" s="11" t="n"/>
      <c r="AC154" s="11" t="n"/>
      <c r="AD154" s="11" t="n"/>
      <c r="AE154" s="13">
        <f>SUM(O154:V154)</f>
        <v/>
      </c>
      <c r="AF154" s="13">
        <f>SUM(W154:AC154)</f>
        <v/>
      </c>
      <c r="AG154" s="13">
        <f>SUM(O154:AD154)</f>
        <v/>
      </c>
      <c r="AH154" s="11">
        <f>IF(AG154="","",IF(AG154&lt;=26,"Very Poor",IF(AG154&lt;=38,"Poor",IF(AG154&lt;=50,"Fair",IF(AG154&lt;=62,"Good","Excellent")))))</f>
        <v/>
      </c>
      <c r="AI154" s="11" t="n"/>
      <c r="AJ154" s="11" t="n"/>
      <c r="AK154" s="11" t="n"/>
      <c r="AL154" s="11" t="n"/>
      <c r="AM154" s="13">
        <f>COUNTIF(AI154:AL154,"Y")</f>
        <v/>
      </c>
      <c r="AN154" s="11" t="n"/>
    </row>
    <row r="155">
      <c r="A155" s="11" t="inlineStr">
        <is>
          <t>IG-04</t>
        </is>
      </c>
      <c r="B155" s="11" t="inlineStr">
        <is>
          <t>Instagram</t>
        </is>
      </c>
      <c r="C155" s="11" t="inlineStr">
        <is>
          <t>how to start exercising</t>
        </is>
      </c>
      <c r="D155" s="11" t="inlineStr">
        <is>
          <t>https://www.instagram.com/p/DSSvpaVDU3g/</t>
        </is>
      </c>
      <c r="E155" s="11" t="inlineStr">
        <is>
          <t>Get a head start of your New Year Health Goals!!!  I have day time PT SLOTS available.   WEDNESDAY 1300,1400  THURSDAY 1600, 1700  SATURDAY 1030,1130,1230  One to one OR train with a friend.   Adaptive fitness ♿️  Get in touch for details on how I can support your fitness journey. 🤗  #pt #personaltrainer #fitness #ﬁtnessgoals #2026 #fitnessjourney #startexercising #exercise #strengthttrainingforwomen #mensfitness #ladiesfitness #perimenopausefitness #menopausewellness #support #mentalhealth #ci</t>
        </is>
      </c>
      <c r="F155" s="11" t="inlineStr">
        <is>
          <t>Natalie</t>
        </is>
      </c>
      <c r="G155" s="11" t="n"/>
      <c r="H155" s="12" t="inlineStr">
        <is>
          <t>2025-12-15</t>
        </is>
      </c>
      <c r="I155" s="13" t="n"/>
      <c r="J155" s="13" t="n">
        <v>5</v>
      </c>
      <c r="K155" s="13" t="n"/>
      <c r="L155" s="13" t="n">
        <v>2</v>
      </c>
      <c r="M155" s="11" t="n"/>
      <c r="N155" s="11" t="inlineStr">
        <is>
          <t>Carousel</t>
        </is>
      </c>
      <c r="O155" s="11" t="n"/>
      <c r="P155" s="11" t="n"/>
      <c r="Q155" s="11" t="n"/>
      <c r="R155" s="11" t="n"/>
      <c r="S155" s="11" t="n"/>
      <c r="T155" s="11" t="n"/>
      <c r="U155" s="11" t="n"/>
      <c r="V155" s="11" t="n"/>
      <c r="W155" s="11" t="n"/>
      <c r="X155" s="11" t="n"/>
      <c r="Y155" s="11" t="n"/>
      <c r="Z155" s="11" t="n"/>
      <c r="AA155" s="11" t="n"/>
      <c r="AB155" s="11" t="n"/>
      <c r="AC155" s="11" t="n"/>
      <c r="AD155" s="11" t="n"/>
      <c r="AE155" s="13">
        <f>SUM(O155:V155)</f>
        <v/>
      </c>
      <c r="AF155" s="13">
        <f>SUM(W155:AC155)</f>
        <v/>
      </c>
      <c r="AG155" s="13">
        <f>SUM(O155:AD155)</f>
        <v/>
      </c>
      <c r="AH155" s="11">
        <f>IF(AG155="","",IF(AG155&lt;=26,"Very Poor",IF(AG155&lt;=38,"Poor",IF(AG155&lt;=50,"Fair",IF(AG155&lt;=62,"Good","Excellent")))))</f>
        <v/>
      </c>
      <c r="AI155" s="11" t="n"/>
      <c r="AJ155" s="11" t="n"/>
      <c r="AK155" s="11" t="n"/>
      <c r="AL155" s="11" t="n"/>
      <c r="AM155" s="13">
        <f>COUNTIF(AI155:AL155,"Y")</f>
        <v/>
      </c>
      <c r="AN155" s="11" t="n"/>
    </row>
    <row r="156">
      <c r="A156" s="11" t="inlineStr">
        <is>
          <t>IG-05</t>
        </is>
      </c>
      <c r="B156" s="11" t="inlineStr">
        <is>
          <t>Instagram</t>
        </is>
      </c>
      <c r="C156" s="11" t="inlineStr">
        <is>
          <t>how to start exercising</t>
        </is>
      </c>
      <c r="D156" s="11" t="inlineStr">
        <is>
          <t>https://www.instagram.com/p/DR_CgV8jfUC/</t>
        </is>
      </c>
      <c r="E156" s="11" t="inlineStr">
        <is>
          <t>DAY #1967 DO WHAT YOU LOVE ❤️❤️  SHARE MY JOURNEY!!  Stay Active, Positive and Beautiful   #biking #bicycle #bicyclelife #streak #daily #day1967 #30km #nodaysoff #nomattertheweather #noexcuses #extreme #getactive #startexercising #stayhealthy #simple #sunday #cloudy #dowhatyoulove #Areksontheroadagain</t>
        </is>
      </c>
      <c r="F156" s="11" t="inlineStr">
        <is>
          <t>𝓐𝓻𝓴𝓪𝓭𝓲𝓾𝓼𝔃</t>
        </is>
      </c>
      <c r="G156" s="11" t="n"/>
      <c r="H156" s="12" t="inlineStr">
        <is>
          <t>2025-12-08</t>
        </is>
      </c>
      <c r="I156" s="13" t="n"/>
      <c r="J156" s="13" t="n">
        <v>1</v>
      </c>
      <c r="K156" s="13" t="n"/>
      <c r="L156" s="13" t="n"/>
      <c r="M156" s="11" t="n"/>
      <c r="N156" s="11" t="inlineStr">
        <is>
          <t>Carousel</t>
        </is>
      </c>
      <c r="O156" s="11" t="n"/>
      <c r="P156" s="11" t="n"/>
      <c r="Q156" s="11" t="n"/>
      <c r="R156" s="11" t="n"/>
      <c r="S156" s="11" t="n"/>
      <c r="T156" s="11" t="n"/>
      <c r="U156" s="11" t="n"/>
      <c r="V156" s="11" t="n"/>
      <c r="W156" s="11" t="n"/>
      <c r="X156" s="11" t="n"/>
      <c r="Y156" s="11" t="n"/>
      <c r="Z156" s="11" t="n"/>
      <c r="AA156" s="11" t="n"/>
      <c r="AB156" s="11" t="n"/>
      <c r="AC156" s="11" t="n"/>
      <c r="AD156" s="11" t="n"/>
      <c r="AE156" s="13">
        <f>SUM(O156:V156)</f>
        <v/>
      </c>
      <c r="AF156" s="13">
        <f>SUM(W156:AC156)</f>
        <v/>
      </c>
      <c r="AG156" s="13">
        <f>SUM(O156:AD156)</f>
        <v/>
      </c>
      <c r="AH156" s="11">
        <f>IF(AG156="","",IF(AG156&lt;=26,"Very Poor",IF(AG156&lt;=38,"Poor",IF(AG156&lt;=50,"Fair",IF(AG156&lt;=62,"Good","Excellent")))))</f>
        <v/>
      </c>
      <c r="AI156" s="11" t="n"/>
      <c r="AJ156" s="11" t="n"/>
      <c r="AK156" s="11" t="n"/>
      <c r="AL156" s="11" t="n"/>
      <c r="AM156" s="13">
        <f>COUNTIF(AI156:AL156,"Y")</f>
        <v/>
      </c>
      <c r="AN156" s="11" t="n"/>
    </row>
    <row r="157">
      <c r="A157" s="11" t="inlineStr">
        <is>
          <t>IG-06</t>
        </is>
      </c>
      <c r="B157" s="11" t="inlineStr">
        <is>
          <t>Instagram</t>
        </is>
      </c>
      <c r="C157" s="11" t="inlineStr">
        <is>
          <t>how to start exercising</t>
        </is>
      </c>
      <c r="D157" s="11" t="inlineStr">
        <is>
          <t>https://www.instagram.com/p/DRUl7zJCPhj/</t>
        </is>
      </c>
      <c r="E157" s="11" t="inlineStr">
        <is>
          <t>🎯ο σύγχρονος τρόπος ζωής  και η καθημερινότητα με την μεγάλη κατανάλωση επεξεργασμενων τροφών, το στρες ,τον κακό ύπνο και με την έλλειψη άσκησης, προκαλει στον οργανισμο μας,να αποθηκεύει  λίπος σε εσωτερικούς ιστούς. ⚠️ Βρίσκεται γύρω απο τα εσωτερικα οργανα σε φυσιολογικές ποσότητες λειτουργεί ως προστασία των οργάνων, αλλα με την αυξηση του παράγει ουσίες που επηρεάζουν αυτα τα οργανα !⚠️ Αυτο εχει σαν αποτέλεσμα να κινδυνεύει καποιος για   ●Αυξηση της χοληστερίνης &gt;καρδιαγγειακα νοσήματα,</t>
        </is>
      </c>
      <c r="F157" s="11" t="inlineStr">
        <is>
          <t>Well Vibe</t>
        </is>
      </c>
      <c r="G157" s="11" t="n"/>
      <c r="H157" s="12" t="inlineStr">
        <is>
          <t>2025-11-21</t>
        </is>
      </c>
      <c r="I157" s="13" t="n"/>
      <c r="J157" s="13" t="n">
        <v>7</v>
      </c>
      <c r="K157" s="13" t="n"/>
      <c r="L157" s="13" t="n">
        <v>1</v>
      </c>
      <c r="M157" s="11" t="n"/>
      <c r="N157" s="11" t="inlineStr">
        <is>
          <t>Carousel</t>
        </is>
      </c>
      <c r="O157" s="11" t="n"/>
      <c r="P157" s="11" t="n"/>
      <c r="Q157" s="11" t="n"/>
      <c r="R157" s="11" t="n"/>
      <c r="S157" s="11" t="n"/>
      <c r="T157" s="11" t="n"/>
      <c r="U157" s="11" t="n"/>
      <c r="V157" s="11" t="n"/>
      <c r="W157" s="11" t="n"/>
      <c r="X157" s="11" t="n"/>
      <c r="Y157" s="11" t="n"/>
      <c r="Z157" s="11" t="n"/>
      <c r="AA157" s="11" t="n"/>
      <c r="AB157" s="11" t="n"/>
      <c r="AC157" s="11" t="n"/>
      <c r="AD157" s="11" t="n"/>
      <c r="AE157" s="13">
        <f>SUM(O157:V157)</f>
        <v/>
      </c>
      <c r="AF157" s="13">
        <f>SUM(W157:AC157)</f>
        <v/>
      </c>
      <c r="AG157" s="13">
        <f>SUM(O157:AD157)</f>
        <v/>
      </c>
      <c r="AH157" s="11">
        <f>IF(AG157="","",IF(AG157&lt;=26,"Very Poor",IF(AG157&lt;=38,"Poor",IF(AG157&lt;=50,"Fair",IF(AG157&lt;=62,"Good","Excellent")))))</f>
        <v/>
      </c>
      <c r="AI157" s="11" t="n"/>
      <c r="AJ157" s="11" t="n"/>
      <c r="AK157" s="11" t="n"/>
      <c r="AL157" s="11" t="n"/>
      <c r="AM157" s="13">
        <f>COUNTIF(AI157:AL157,"Y")</f>
        <v/>
      </c>
      <c r="AN157" s="11" t="n"/>
    </row>
    <row r="158">
      <c r="A158" s="11" t="inlineStr">
        <is>
          <t>IG-07</t>
        </is>
      </c>
      <c r="B158" s="11" t="inlineStr">
        <is>
          <t>Instagram</t>
        </is>
      </c>
      <c r="C158" s="11" t="inlineStr">
        <is>
          <t>how to start exercising</t>
        </is>
      </c>
      <c r="D158" s="11" t="inlineStr">
        <is>
          <t>https://www.instagram.com/p/DRQy3W2Df9O/</t>
        </is>
      </c>
      <c r="E158" s="11" t="inlineStr">
        <is>
          <t>DAY #1949 Another day, another dose of therapy!!  SHARE MY JOURNEY!!   Stay Active, Positive and Beautiful   #bicyclelife #bicycle #cyclist #streak #daily #day1949 #30km #nodaysoff #nomattertheweather #noexcuses #extreme #dedicated #disciplined #committed #healthiswealth #startexercising #feelbetter #simple #mytherapy #therapy #wednesday #partlysunny #partlycloudy #Areksontheroadagain</t>
        </is>
      </c>
      <c r="F158" s="11" t="inlineStr">
        <is>
          <t>𝓐𝓻𝓴𝓪𝓭𝓲𝓾𝓼𝔃</t>
        </is>
      </c>
      <c r="G158" s="11" t="n"/>
      <c r="H158" s="12" t="inlineStr">
        <is>
          <t>2025-11-20</t>
        </is>
      </c>
      <c r="I158" s="13" t="n"/>
      <c r="J158" s="13" t="n">
        <v>1</v>
      </c>
      <c r="K158" s="13" t="n"/>
      <c r="L158" s="13" t="n"/>
      <c r="M158" s="11" t="n"/>
      <c r="N158" s="11" t="inlineStr">
        <is>
          <t>Carousel</t>
        </is>
      </c>
      <c r="O158" s="11" t="n"/>
      <c r="P158" s="11" t="n"/>
      <c r="Q158" s="11" t="n"/>
      <c r="R158" s="11" t="n"/>
      <c r="S158" s="11" t="n"/>
      <c r="T158" s="11" t="n"/>
      <c r="U158" s="11" t="n"/>
      <c r="V158" s="11" t="n"/>
      <c r="W158" s="11" t="n"/>
      <c r="X158" s="11" t="n"/>
      <c r="Y158" s="11" t="n"/>
      <c r="Z158" s="11" t="n"/>
      <c r="AA158" s="11" t="n"/>
      <c r="AB158" s="11" t="n"/>
      <c r="AC158" s="11" t="n"/>
      <c r="AD158" s="11" t="n"/>
      <c r="AE158" s="13">
        <f>SUM(O158:V158)</f>
        <v/>
      </c>
      <c r="AF158" s="13">
        <f>SUM(W158:AC158)</f>
        <v/>
      </c>
      <c r="AG158" s="13">
        <f>SUM(O158:AD158)</f>
        <v/>
      </c>
      <c r="AH158" s="11">
        <f>IF(AG158="","",IF(AG158&lt;=26,"Very Poor",IF(AG158&lt;=38,"Poor",IF(AG158&lt;=50,"Fair",IF(AG158&lt;=62,"Good","Excellent")))))</f>
        <v/>
      </c>
      <c r="AI158" s="11" t="n"/>
      <c r="AJ158" s="11" t="n"/>
      <c r="AK158" s="11" t="n"/>
      <c r="AL158" s="11" t="n"/>
      <c r="AM158" s="13">
        <f>COUNTIF(AI158:AL158,"Y")</f>
        <v/>
      </c>
      <c r="AN158" s="11" t="n"/>
    </row>
    <row r="159">
      <c r="A159" s="11" t="inlineStr">
        <is>
          <t>IG-08</t>
        </is>
      </c>
      <c r="B159" s="11" t="inlineStr">
        <is>
          <t>Instagram</t>
        </is>
      </c>
      <c r="C159" s="11" t="inlineStr">
        <is>
          <t>how to start exercising</t>
        </is>
      </c>
      <c r="D159" s="11" t="inlineStr">
        <is>
          <t>https://www.instagram.com/p/DRMBtr-lAvd/</t>
        </is>
      </c>
      <c r="E159" s="11" t="inlineStr">
        <is>
          <t>I’ve been a busy personal trainer and parent of teen athletes for what feels like forever.  I know how easy it is to be “too busy to exercise” for many parents.  Trust me when I tell you, it’s easier to take care of yourself than you think.   And exercise is the easiest way. Plus it’s fun and very rewarding.  ⭐️Why This Works (Especially Restarting Exercise) * You’re repeating the same simple workout three times, which removes overwhelm * It builds confidence fast (“I can do this — even with my</t>
        </is>
      </c>
      <c r="F159" s="11" t="inlineStr">
        <is>
          <t>Christina Caffiero</t>
        </is>
      </c>
      <c r="G159" s="11" t="n"/>
      <c r="H159" s="12" t="inlineStr">
        <is>
          <t>2025-11-18</t>
        </is>
      </c>
      <c r="I159" s="13" t="n"/>
      <c r="J159" s="13" t="n">
        <v>2</v>
      </c>
      <c r="K159" s="13" t="n"/>
      <c r="L159" s="13" t="n"/>
      <c r="M159" s="11" t="n"/>
      <c r="N159" s="11" t="inlineStr">
        <is>
          <t>Carousel</t>
        </is>
      </c>
      <c r="O159" s="11" t="n"/>
      <c r="P159" s="11" t="n"/>
      <c r="Q159" s="11" t="n"/>
      <c r="R159" s="11" t="n"/>
      <c r="S159" s="11" t="n"/>
      <c r="T159" s="11" t="n"/>
      <c r="U159" s="11" t="n"/>
      <c r="V159" s="11" t="n"/>
      <c r="W159" s="11" t="n"/>
      <c r="X159" s="11" t="n"/>
      <c r="Y159" s="11" t="n"/>
      <c r="Z159" s="11" t="n"/>
      <c r="AA159" s="11" t="n"/>
      <c r="AB159" s="11" t="n"/>
      <c r="AC159" s="11" t="n"/>
      <c r="AD159" s="11" t="n"/>
      <c r="AE159" s="13">
        <f>SUM(O159:V159)</f>
        <v/>
      </c>
      <c r="AF159" s="13">
        <f>SUM(W159:AC159)</f>
        <v/>
      </c>
      <c r="AG159" s="13">
        <f>SUM(O159:AD159)</f>
        <v/>
      </c>
      <c r="AH159" s="11">
        <f>IF(AG159="","",IF(AG159&lt;=26,"Very Poor",IF(AG159&lt;=38,"Poor",IF(AG159&lt;=50,"Fair",IF(AG159&lt;=62,"Good","Excellent")))))</f>
        <v/>
      </c>
      <c r="AI159" s="11" t="n"/>
      <c r="AJ159" s="11" t="n"/>
      <c r="AK159" s="11" t="n"/>
      <c r="AL159" s="11" t="n"/>
      <c r="AM159" s="13">
        <f>COUNTIF(AI159:AL159,"Y")</f>
        <v/>
      </c>
      <c r="AN159" s="11" t="n"/>
    </row>
    <row r="160">
      <c r="A160" s="11" t="inlineStr">
        <is>
          <t>IG-09</t>
        </is>
      </c>
      <c r="B160" s="11" t="inlineStr">
        <is>
          <t>Instagram</t>
        </is>
      </c>
      <c r="C160" s="11" t="inlineStr">
        <is>
          <t>how to start exercising</t>
        </is>
      </c>
      <c r="D160" s="11" t="inlineStr">
        <is>
          <t>https://www.instagram.com/p/DRIH0NADXqR/</t>
        </is>
      </c>
      <c r="E160" s="11" t="inlineStr">
        <is>
          <t>Your line up!  Classes held at Unit 10 Mandale Business Park Lemington. Ne15 8sx   Find me at @ukfitness2 gym.   Classes for all!!   Come join a supportive tribe- with plenty of variety and a promise you will enjoy exercise!   Your first class is FREE!   To book- just download the free Gymcatch app and look for Fitness With Natalie.  OR just drop me a message. 🤗  No contracts  PAYG £10 per class   #fitnessforall #fitnessjourney #exerciseclasses #startexercising #fitnessfun #core #bootcamp #ladi</t>
        </is>
      </c>
      <c r="F160" s="11" t="inlineStr">
        <is>
          <t>Natalie</t>
        </is>
      </c>
      <c r="G160" s="11" t="n"/>
      <c r="H160" s="12" t="inlineStr">
        <is>
          <t>2025-11-16</t>
        </is>
      </c>
      <c r="I160" s="13" t="n"/>
      <c r="J160" s="13" t="n">
        <v>2</v>
      </c>
      <c r="K160" s="13" t="n"/>
      <c r="L160" s="13" t="n"/>
      <c r="M160" s="11" t="n"/>
      <c r="N160" s="11" t="inlineStr">
        <is>
          <t>Carousel</t>
        </is>
      </c>
      <c r="O160" s="11" t="n"/>
      <c r="P160" s="11" t="n"/>
      <c r="Q160" s="11" t="n"/>
      <c r="R160" s="11" t="n"/>
      <c r="S160" s="11" t="n"/>
      <c r="T160" s="11" t="n"/>
      <c r="U160" s="11" t="n"/>
      <c r="V160" s="11" t="n"/>
      <c r="W160" s="11" t="n"/>
      <c r="X160" s="11" t="n"/>
      <c r="Y160" s="11" t="n"/>
      <c r="Z160" s="11" t="n"/>
      <c r="AA160" s="11" t="n"/>
      <c r="AB160" s="11" t="n"/>
      <c r="AC160" s="11" t="n"/>
      <c r="AD160" s="11" t="n"/>
      <c r="AE160" s="13">
        <f>SUM(O160:V160)</f>
        <v/>
      </c>
      <c r="AF160" s="13">
        <f>SUM(W160:AC160)</f>
        <v/>
      </c>
      <c r="AG160" s="13">
        <f>SUM(O160:AD160)</f>
        <v/>
      </c>
      <c r="AH160" s="11">
        <f>IF(AG160="","",IF(AG160&lt;=26,"Very Poor",IF(AG160&lt;=38,"Poor",IF(AG160&lt;=50,"Fair",IF(AG160&lt;=62,"Good","Excellent")))))</f>
        <v/>
      </c>
      <c r="AI160" s="11" t="n"/>
      <c r="AJ160" s="11" t="n"/>
      <c r="AK160" s="11" t="n"/>
      <c r="AL160" s="11" t="n"/>
      <c r="AM160" s="13">
        <f>COUNTIF(AI160:AL160,"Y")</f>
        <v/>
      </c>
      <c r="AN160" s="11" t="n"/>
    </row>
    <row r="161">
      <c r="A161" s="11" t="inlineStr">
        <is>
          <t>IG-10</t>
        </is>
      </c>
      <c r="B161" s="11" t="inlineStr">
        <is>
          <t>Instagram</t>
        </is>
      </c>
      <c r="C161" s="11" t="inlineStr">
        <is>
          <t>how to start exercising</t>
        </is>
      </c>
      <c r="D161" s="11" t="inlineStr">
        <is>
          <t>https://www.instagram.com/p/DQMbW1cCLdR/</t>
        </is>
      </c>
      <c r="E161" s="11" t="inlineStr">
        <is>
          <t>🟢Σε οτι αφορά την φυσική μας κατασταση ,ο καθενας εχει εναν στοχο. Αν δεν υπαρχει στόχος, υπαρχει πρόβλημα.  Ακόμα και η διατήρηση της κατάστασης μας ,χρειαζεται έργο-συνεπεια-προσπαθεια.  🫵οποιοσδήποτε και αν ειναι ο στόχος σου ,κανένας δεν μπορει να σε αποθαρρύνει εκτός απο τον ιδιο σου τον εαυτό.-  ⚪️Το να ξεκινήσεις ειναι ΕΠΙΛΟΓΗ σου ,το να συνεχίσεις ΕΠΙΛΟΓΗ σου ,το να τα παρατήσεις ειναιΕΠΙΛΟΓΗ σου,το να προσπαθήσεις ειναι ΕΠΙΛΟΓΗ σου.-  🟢Για περισσότερους τρόπους και βίντεο  εκγύμνασης</t>
        </is>
      </c>
      <c r="F161" s="11" t="inlineStr">
        <is>
          <t>Well Vibe</t>
        </is>
      </c>
      <c r="G161" s="11" t="n"/>
      <c r="H161" s="12" t="inlineStr">
        <is>
          <t>2025-10-24</t>
        </is>
      </c>
      <c r="I161" s="13" t="n"/>
      <c r="J161" s="13" t="n">
        <v>11</v>
      </c>
      <c r="K161" s="13" t="n"/>
      <c r="L161" s="13" t="n">
        <v>1</v>
      </c>
      <c r="M161" s="11" t="n"/>
      <c r="N161" s="11" t="inlineStr">
        <is>
          <t>Carousel</t>
        </is>
      </c>
      <c r="O161" s="11" t="n"/>
      <c r="P161" s="11" t="n"/>
      <c r="Q161" s="11" t="n"/>
      <c r="R161" s="11" t="n"/>
      <c r="S161" s="11" t="n"/>
      <c r="T161" s="11" t="n"/>
      <c r="U161" s="11" t="n"/>
      <c r="V161" s="11" t="n"/>
      <c r="W161" s="11" t="n"/>
      <c r="X161" s="11" t="n"/>
      <c r="Y161" s="11" t="n"/>
      <c r="Z161" s="11" t="n"/>
      <c r="AA161" s="11" t="n"/>
      <c r="AB161" s="11" t="n"/>
      <c r="AC161" s="11" t="n"/>
      <c r="AD161" s="11" t="n"/>
      <c r="AE161" s="13">
        <f>SUM(O161:V161)</f>
        <v/>
      </c>
      <c r="AF161" s="13">
        <f>SUM(W161:AC161)</f>
        <v/>
      </c>
      <c r="AG161" s="13">
        <f>SUM(O161:AD161)</f>
        <v/>
      </c>
      <c r="AH161" s="11">
        <f>IF(AG161="","",IF(AG161&lt;=26,"Very Poor",IF(AG161&lt;=38,"Poor",IF(AG161&lt;=50,"Fair",IF(AG161&lt;=62,"Good","Excellent")))))</f>
        <v/>
      </c>
      <c r="AI161" s="11" t="n"/>
      <c r="AJ161" s="11" t="n"/>
      <c r="AK161" s="11" t="n"/>
      <c r="AL161" s="11" t="n"/>
      <c r="AM161" s="13">
        <f>COUNTIF(AI161:AL161,"Y")</f>
        <v/>
      </c>
      <c r="AN161" s="11" t="n"/>
    </row>
    <row r="162">
      <c r="A162" s="11" t="inlineStr">
        <is>
          <t>IG-11</t>
        </is>
      </c>
      <c r="B162" s="11" t="inlineStr">
        <is>
          <t>Instagram</t>
        </is>
      </c>
      <c r="C162" s="11" t="inlineStr">
        <is>
          <t>best exercises to lose weight</t>
        </is>
      </c>
      <c r="D162" s="11" t="inlineStr">
        <is>
          <t>https://www.instagram.com/p/DVbMNNsjjEI/</t>
        </is>
      </c>
      <c r="E162" s="11" t="inlineStr">
        <is>
          <t>Nobody sees the early mornings!!!⁠ Nobody sees the discipline!⁠ Nobody sees the small decisions stacking up!⁠ ⁠ But your BODY does.⁠ ⁠ Your MIND does.⁠ ⁠ Every drop of sweat is a reminder that you chose EFFORT over excuses.⁠ ⁠ And as a woman who carries a lot — responsibility, pressure, expectations —⁠ moving your body is power.⁠ ⁠ It’s not punishment.⁠ It’s ownership baby⁠ ⁠ ⁠ #confidence #weightlosstips #weightlossworkout #healthylifestyle #fitnesspost</t>
        </is>
      </c>
      <c r="F162" s="11" t="inlineStr">
        <is>
          <t>Fitness Rx 🏋🏼‍♀️ Fitness for Every Level</t>
        </is>
      </c>
      <c r="G162" s="11" t="n"/>
      <c r="H162" s="12" t="inlineStr">
        <is>
          <t>2026-03-03</t>
        </is>
      </c>
      <c r="I162" s="13" t="n"/>
      <c r="J162" s="13" t="n">
        <v>3</v>
      </c>
      <c r="K162" s="13" t="n"/>
      <c r="L162" s="13" t="n"/>
      <c r="M162" s="11" t="n"/>
      <c r="N162" s="11" t="inlineStr">
        <is>
          <t>Carousel</t>
        </is>
      </c>
      <c r="O162" s="11" t="n"/>
      <c r="P162" s="11" t="n"/>
      <c r="Q162" s="11" t="n"/>
      <c r="R162" s="11" t="n"/>
      <c r="S162" s="11" t="n"/>
      <c r="T162" s="11" t="n"/>
      <c r="U162" s="11" t="n"/>
      <c r="V162" s="11" t="n"/>
      <c r="W162" s="11" t="n"/>
      <c r="X162" s="11" t="n"/>
      <c r="Y162" s="11" t="n"/>
      <c r="Z162" s="11" t="n"/>
      <c r="AA162" s="11" t="n"/>
      <c r="AB162" s="11" t="n"/>
      <c r="AC162" s="11" t="n"/>
      <c r="AD162" s="11" t="n"/>
      <c r="AE162" s="13">
        <f>SUM(O162:V162)</f>
        <v/>
      </c>
      <c r="AF162" s="13">
        <f>SUM(W162:AC162)</f>
        <v/>
      </c>
      <c r="AG162" s="13">
        <f>SUM(O162:AD162)</f>
        <v/>
      </c>
      <c r="AH162" s="11">
        <f>IF(AG162="","",IF(AG162&lt;=26,"Very Poor",IF(AG162&lt;=38,"Poor",IF(AG162&lt;=50,"Fair",IF(AG162&lt;=62,"Good","Excellent")))))</f>
        <v/>
      </c>
      <c r="AI162" s="11" t="n"/>
      <c r="AJ162" s="11" t="n"/>
      <c r="AK162" s="11" t="n"/>
      <c r="AL162" s="11" t="n"/>
      <c r="AM162" s="13">
        <f>COUNTIF(AI162:AL162,"Y")</f>
        <v/>
      </c>
      <c r="AN162" s="11" t="n"/>
    </row>
    <row r="163">
      <c r="A163" s="11" t="inlineStr">
        <is>
          <t>IG-12</t>
        </is>
      </c>
      <c r="B163" s="11" t="inlineStr">
        <is>
          <t>Instagram</t>
        </is>
      </c>
      <c r="C163" s="11" t="inlineStr">
        <is>
          <t>best exercises to lose weight</t>
        </is>
      </c>
      <c r="D163" s="11" t="inlineStr">
        <is>
          <t>https://www.instagram.com/p/DVZlNN8EhyJ/</t>
        </is>
      </c>
      <c r="E163" s="11" t="inlineStr">
        <is>
          <t>Morgan called it positive and family oriented — and I think what she’s really reacting to is how NORMAL it feels in here.⁠ ⁠ No weird energy or ego ⁠ ⁠ You can show up tired, stressed, out of shape, coming back from a break — and nobody flinches!! ⁠ ⁠ That safety? 🖤⁠ That’s powerful.⁠ ⁠ #confidence #weightlosstips #weightlossworkout #healthylifestyle #fitnesspost</t>
        </is>
      </c>
      <c r="F163" s="11" t="inlineStr">
        <is>
          <t>Fitness Rx 🏋🏼‍♀️ Fitness for Every Level</t>
        </is>
      </c>
      <c r="G163" s="11" t="n"/>
      <c r="H163" s="12" t="inlineStr">
        <is>
          <t>2026-03-02</t>
        </is>
      </c>
      <c r="I163" s="13" t="n"/>
      <c r="J163" s="13" t="n">
        <v>3</v>
      </c>
      <c r="K163" s="13" t="n"/>
      <c r="L163" s="13" t="n"/>
      <c r="M163" s="11" t="n"/>
      <c r="N163" s="11" t="inlineStr">
        <is>
          <t>Carousel</t>
        </is>
      </c>
      <c r="O163" s="11" t="n"/>
      <c r="P163" s="11" t="n"/>
      <c r="Q163" s="11" t="n"/>
      <c r="R163" s="11" t="n"/>
      <c r="S163" s="11" t="n"/>
      <c r="T163" s="11" t="n"/>
      <c r="U163" s="11" t="n"/>
      <c r="V163" s="11" t="n"/>
      <c r="W163" s="11" t="n"/>
      <c r="X163" s="11" t="n"/>
      <c r="Y163" s="11" t="n"/>
      <c r="Z163" s="11" t="n"/>
      <c r="AA163" s="11" t="n"/>
      <c r="AB163" s="11" t="n"/>
      <c r="AC163" s="11" t="n"/>
      <c r="AD163" s="11" t="n"/>
      <c r="AE163" s="13">
        <f>SUM(O163:V163)</f>
        <v/>
      </c>
      <c r="AF163" s="13">
        <f>SUM(W163:AC163)</f>
        <v/>
      </c>
      <c r="AG163" s="13">
        <f>SUM(O163:AD163)</f>
        <v/>
      </c>
      <c r="AH163" s="11">
        <f>IF(AG163="","",IF(AG163&lt;=26,"Very Poor",IF(AG163&lt;=38,"Poor",IF(AG163&lt;=50,"Fair",IF(AG163&lt;=62,"Good","Excellent")))))</f>
        <v/>
      </c>
      <c r="AI163" s="11" t="n"/>
      <c r="AJ163" s="11" t="n"/>
      <c r="AK163" s="11" t="n"/>
      <c r="AL163" s="11" t="n"/>
      <c r="AM163" s="13">
        <f>COUNTIF(AI163:AL163,"Y")</f>
        <v/>
      </c>
      <c r="AN163" s="11" t="n"/>
    </row>
    <row r="164">
      <c r="A164" s="11" t="inlineStr">
        <is>
          <t>IG-13</t>
        </is>
      </c>
      <c r="B164" s="11" t="inlineStr">
        <is>
          <t>Instagram</t>
        </is>
      </c>
      <c r="C164" s="11" t="inlineStr">
        <is>
          <t>best exercises to lose weight</t>
        </is>
      </c>
      <c r="D164" s="11" t="inlineStr">
        <is>
          <t>https://www.instagram.com/p/DVYyF9rjbfo/</t>
        </is>
      </c>
      <c r="E164" s="11" t="inlineStr">
        <is>
          <t>GLP-1 treatments are most effective when paired with regular movement. 🌿  GLP-1 works by regulating appetite, improving insulin sensitivity, and supporting metabolic function. During weight loss, however, the body can lose both fat and muscle. Movement helps signal the body to preserve lean muscle mass, which is essential for maintaining metabolism, strength, and energy levels.  Even 20 minutes of daily activity, such as walking, resistance training, or low-impact movement, can make a meaningfu</t>
        </is>
      </c>
      <c r="F164" s="11" t="inlineStr">
        <is>
          <t>BOSTON MEDSPA &amp; AESTHETICS</t>
        </is>
      </c>
      <c r="G164" s="11" t="n"/>
      <c r="H164" s="12" t="inlineStr">
        <is>
          <t>2026-03-02</t>
        </is>
      </c>
      <c r="I164" s="13" t="n"/>
      <c r="J164" s="13" t="n"/>
      <c r="K164" s="13" t="n"/>
      <c r="L164" s="13" t="n"/>
      <c r="M164" s="11" t="n"/>
      <c r="N164" s="11" t="inlineStr">
        <is>
          <t>Carousel</t>
        </is>
      </c>
      <c r="O164" s="11" t="n"/>
      <c r="P164" s="11" t="n"/>
      <c r="Q164" s="11" t="n"/>
      <c r="R164" s="11" t="n"/>
      <c r="S164" s="11" t="n"/>
      <c r="T164" s="11" t="n"/>
      <c r="U164" s="11" t="n"/>
      <c r="V164" s="11" t="n"/>
      <c r="W164" s="11" t="n"/>
      <c r="X164" s="11" t="n"/>
      <c r="Y164" s="11" t="n"/>
      <c r="Z164" s="11" t="n"/>
      <c r="AA164" s="11" t="n"/>
      <c r="AB164" s="11" t="n"/>
      <c r="AC164" s="11" t="n"/>
      <c r="AD164" s="11" t="n"/>
      <c r="AE164" s="13">
        <f>SUM(O164:V164)</f>
        <v/>
      </c>
      <c r="AF164" s="13">
        <f>SUM(W164:AC164)</f>
        <v/>
      </c>
      <c r="AG164" s="13">
        <f>SUM(O164:AD164)</f>
        <v/>
      </c>
      <c r="AH164" s="11">
        <f>IF(AG164="","",IF(AG164&lt;=26,"Very Poor",IF(AG164&lt;=38,"Poor",IF(AG164&lt;=50,"Fair",IF(AG164&lt;=62,"Good","Excellent")))))</f>
        <v/>
      </c>
      <c r="AI164" s="11" t="n"/>
      <c r="AJ164" s="11" t="n"/>
      <c r="AK164" s="11" t="n"/>
      <c r="AL164" s="11" t="n"/>
      <c r="AM164" s="13">
        <f>COUNTIF(AI164:AL164,"Y")</f>
        <v/>
      </c>
      <c r="AN164" s="11" t="n"/>
    </row>
    <row r="165">
      <c r="A165" s="11" t="inlineStr">
        <is>
          <t>IG-14</t>
        </is>
      </c>
      <c r="B165" s="11" t="inlineStr">
        <is>
          <t>Instagram</t>
        </is>
      </c>
      <c r="C165" s="11" t="inlineStr">
        <is>
          <t>best exercises to lose weight</t>
        </is>
      </c>
      <c r="D165" s="11" t="inlineStr">
        <is>
          <t>https://www.instagram.com/p/DVYEiqZmfWR/</t>
        </is>
      </c>
      <c r="E165" s="11" t="inlineStr">
        <is>
          <t>SOOOOO .. I don’t believe in staying comfortable. 😛⁠ ⁠ Comfort is cute for a Sunday afternoon.⁠ It’s not cute for your goals!!!⁠ ⁠ Growth requires FRICTION.⁠ It requires you doing the thing you don’t FEEL like doing.⁠ It requires you lifting the weight you’re unsure about.⁠ ⁠ And here’s what I’ve learned — in business and in the gym:⁠ ⁠ The version of you that’s praying for more?⁠ She’s on the OTHER side of discomfort.⁠ ⁠ So when it gets hard… good!!! (I say this all the time lol)⁠ That means y</t>
        </is>
      </c>
      <c r="F165" s="11" t="inlineStr">
        <is>
          <t>Fitness Rx 🏋🏼‍♀️ Fitness for Every Level</t>
        </is>
      </c>
      <c r="G165" s="11" t="n"/>
      <c r="H165" s="12" t="inlineStr">
        <is>
          <t>2026-03-02</t>
        </is>
      </c>
      <c r="I165" s="13" t="n"/>
      <c r="J165" s="13" t="n">
        <v>5</v>
      </c>
      <c r="K165" s="13" t="n"/>
      <c r="L165" s="13" t="n"/>
      <c r="M165" s="11" t="n"/>
      <c r="N165" s="11" t="inlineStr">
        <is>
          <t>Carousel</t>
        </is>
      </c>
      <c r="O165" s="11" t="n"/>
      <c r="P165" s="11" t="n"/>
      <c r="Q165" s="11" t="n"/>
      <c r="R165" s="11" t="n"/>
      <c r="S165" s="11" t="n"/>
      <c r="T165" s="11" t="n"/>
      <c r="U165" s="11" t="n"/>
      <c r="V165" s="11" t="n"/>
      <c r="W165" s="11" t="n"/>
      <c r="X165" s="11" t="n"/>
      <c r="Y165" s="11" t="n"/>
      <c r="Z165" s="11" t="n"/>
      <c r="AA165" s="11" t="n"/>
      <c r="AB165" s="11" t="n"/>
      <c r="AC165" s="11" t="n"/>
      <c r="AD165" s="11" t="n"/>
      <c r="AE165" s="13">
        <f>SUM(O165:V165)</f>
        <v/>
      </c>
      <c r="AF165" s="13">
        <f>SUM(W165:AC165)</f>
        <v/>
      </c>
      <c r="AG165" s="13">
        <f>SUM(O165:AD165)</f>
        <v/>
      </c>
      <c r="AH165" s="11">
        <f>IF(AG165="","",IF(AG165&lt;=26,"Very Poor",IF(AG165&lt;=38,"Poor",IF(AG165&lt;=50,"Fair",IF(AG165&lt;=62,"Good","Excellent")))))</f>
        <v/>
      </c>
      <c r="AI165" s="11" t="n"/>
      <c r="AJ165" s="11" t="n"/>
      <c r="AK165" s="11" t="n"/>
      <c r="AL165" s="11" t="n"/>
      <c r="AM165" s="13">
        <f>COUNTIF(AI165:AL165,"Y")</f>
        <v/>
      </c>
      <c r="AN165" s="11" t="n"/>
    </row>
    <row r="166">
      <c r="A166" s="11" t="inlineStr">
        <is>
          <t>IG-15</t>
        </is>
      </c>
      <c r="B166" s="11" t="inlineStr">
        <is>
          <t>Instagram</t>
        </is>
      </c>
      <c r="C166" s="11" t="inlineStr">
        <is>
          <t>best exercises to lose weight</t>
        </is>
      </c>
      <c r="D166" s="11" t="inlineStr">
        <is>
          <t>https://www.instagram.com/p/DVUAtt8EzPk/</t>
        </is>
      </c>
      <c r="E166" s="11" t="inlineStr">
        <is>
          <t>Honestly at this point shes been here for more like 6 years -- that is what commitment looks like when it’s healthy.⁠ ⁠ Not extreme.⁠ Not obsessive.⁠ ⁠ Just consistent, adult decisions stacked over time.⁠ ⁠ At home⁠ On vacation⁠ Here in the gym⁠ ⁠ That’s how strength is built!!! (If you know Val -- you KNOW she's got that part down pat!)⁠ ⁠ ⁠ #confidence #weightlosstips #weightlossworkout #healthylifestyle #fitnesspost</t>
        </is>
      </c>
      <c r="F166" s="11" t="inlineStr">
        <is>
          <t>Fitness Rx 🏋🏼‍♀️ Fitness for Every Level</t>
        </is>
      </c>
      <c r="G166" s="11" t="n"/>
      <c r="H166" s="12" t="inlineStr">
        <is>
          <t>2026-02-28</t>
        </is>
      </c>
      <c r="I166" s="13" t="n"/>
      <c r="J166" s="13" t="n">
        <v>6</v>
      </c>
      <c r="K166" s="13" t="n"/>
      <c r="L166" s="13" t="n">
        <v>1</v>
      </c>
      <c r="M166" s="11" t="n"/>
      <c r="N166" s="11" t="inlineStr">
        <is>
          <t>Carousel</t>
        </is>
      </c>
      <c r="O166" s="11" t="n"/>
      <c r="P166" s="11" t="n"/>
      <c r="Q166" s="11" t="n"/>
      <c r="R166" s="11" t="n"/>
      <c r="S166" s="11" t="n"/>
      <c r="T166" s="11" t="n"/>
      <c r="U166" s="11" t="n"/>
      <c r="V166" s="11" t="n"/>
      <c r="W166" s="11" t="n"/>
      <c r="X166" s="11" t="n"/>
      <c r="Y166" s="11" t="n"/>
      <c r="Z166" s="11" t="n"/>
      <c r="AA166" s="11" t="n"/>
      <c r="AB166" s="11" t="n"/>
      <c r="AC166" s="11" t="n"/>
      <c r="AD166" s="11" t="n"/>
      <c r="AE166" s="13">
        <f>SUM(O166:V166)</f>
        <v/>
      </c>
      <c r="AF166" s="13">
        <f>SUM(W166:AC166)</f>
        <v/>
      </c>
      <c r="AG166" s="13">
        <f>SUM(O166:AD166)</f>
        <v/>
      </c>
      <c r="AH166" s="11">
        <f>IF(AG166="","",IF(AG166&lt;=26,"Very Poor",IF(AG166&lt;=38,"Poor",IF(AG166&lt;=50,"Fair",IF(AG166&lt;=62,"Good","Excellent")))))</f>
        <v/>
      </c>
      <c r="AI166" s="11" t="n"/>
      <c r="AJ166" s="11" t="n"/>
      <c r="AK166" s="11" t="n"/>
      <c r="AL166" s="11" t="n"/>
      <c r="AM166" s="13">
        <f>COUNTIF(AI166:AL166,"Y")</f>
        <v/>
      </c>
      <c r="AN166" s="11" t="n"/>
    </row>
    <row r="167">
      <c r="A167" s="11" t="inlineStr">
        <is>
          <t>IG-16</t>
        </is>
      </c>
      <c r="B167" s="11" t="inlineStr">
        <is>
          <t>Instagram</t>
        </is>
      </c>
      <c r="C167" s="11" t="inlineStr">
        <is>
          <t>best exercises to lose weight</t>
        </is>
      </c>
      <c r="D167" s="11" t="inlineStr">
        <is>
          <t>https://www.instagram.com/p/DVR-01xEtOF/</t>
        </is>
      </c>
      <c r="E167" s="11" t="inlineStr">
        <is>
          <t>“I literally cannot recommend it enough.”⁠ ⁠ That’s not hype.⁠ ⁠ That’s someone who found her people. 🥹⁠ ⁠ Coaches who push.⁠ Classes that challenge.⁠ An environment where you’re allowed to grow. 🌱⁠ ⁠ ⁠ #confidence #weightlosstips #weightlossworkout #healthylifestyle #fitnesspost</t>
        </is>
      </c>
      <c r="F167" s="11" t="inlineStr">
        <is>
          <t>Fitness Rx 🏋🏼‍♀️ Fitness for Every Level</t>
        </is>
      </c>
      <c r="G167" s="11" t="n"/>
      <c r="H167" s="12" t="inlineStr">
        <is>
          <t>2026-02-28</t>
        </is>
      </c>
      <c r="I167" s="13" t="n"/>
      <c r="J167" s="13" t="n">
        <v>7</v>
      </c>
      <c r="K167" s="13" t="n"/>
      <c r="L167" s="13" t="n">
        <v>1</v>
      </c>
      <c r="M167" s="11" t="n"/>
      <c r="N167" s="11" t="inlineStr">
        <is>
          <t>Carousel</t>
        </is>
      </c>
      <c r="O167" s="11" t="n"/>
      <c r="P167" s="11" t="n"/>
      <c r="Q167" s="11" t="n"/>
      <c r="R167" s="11" t="n"/>
      <c r="S167" s="11" t="n"/>
      <c r="T167" s="11" t="n"/>
      <c r="U167" s="11" t="n"/>
      <c r="V167" s="11" t="n"/>
      <c r="W167" s="11" t="n"/>
      <c r="X167" s="11" t="n"/>
      <c r="Y167" s="11" t="n"/>
      <c r="Z167" s="11" t="n"/>
      <c r="AA167" s="11" t="n"/>
      <c r="AB167" s="11" t="n"/>
      <c r="AC167" s="11" t="n"/>
      <c r="AD167" s="11" t="n"/>
      <c r="AE167" s="13">
        <f>SUM(O167:V167)</f>
        <v/>
      </c>
      <c r="AF167" s="13">
        <f>SUM(W167:AC167)</f>
        <v/>
      </c>
      <c r="AG167" s="13">
        <f>SUM(O167:AD167)</f>
        <v/>
      </c>
      <c r="AH167" s="11">
        <f>IF(AG167="","",IF(AG167&lt;=26,"Very Poor",IF(AG167&lt;=38,"Poor",IF(AG167&lt;=50,"Fair",IF(AG167&lt;=62,"Good","Excellent")))))</f>
        <v/>
      </c>
      <c r="AI167" s="11" t="n"/>
      <c r="AJ167" s="11" t="n"/>
      <c r="AK167" s="11" t="n"/>
      <c r="AL167" s="11" t="n"/>
      <c r="AM167" s="13">
        <f>COUNTIF(AI167:AL167,"Y")</f>
        <v/>
      </c>
      <c r="AN167" s="11" t="n"/>
    </row>
    <row r="168">
      <c r="A168" s="11" t="inlineStr">
        <is>
          <t>IG-17</t>
        </is>
      </c>
      <c r="B168" s="11" t="inlineStr">
        <is>
          <t>Instagram</t>
        </is>
      </c>
      <c r="C168" s="11" t="inlineStr">
        <is>
          <t>best exercises to lose weight</t>
        </is>
      </c>
      <c r="D168" s="11" t="inlineStr">
        <is>
          <t>https://www.instagram.com/p/DVQA8QVjkI3/</t>
        </is>
      </c>
      <c r="E168" s="11" t="inlineStr">
        <is>
          <t>Strength isn’t given!!!⁠ It’s BUILT!⁠ ⁠ It’s built in the early mornings.⁠ In the LAST rep.⁠ In the reps you don’t WANT to do.⁠ ⁠ Nobody can hand you confidence either.... ⁠ Nobody can hand you results..... ⁠ ⁠ But if you’re willing to work for it —⁠ We’ll be right here beside you. 🫡🥰⁠ ⁠ ⁠ #confidence #weightlosstips #weightlossworkout #healthylifestyle</t>
        </is>
      </c>
      <c r="F168" s="11" t="inlineStr">
        <is>
          <t>Fitness Rx 🏋🏼‍♀️ Fitness for Every Level</t>
        </is>
      </c>
      <c r="G168" s="11" t="n"/>
      <c r="H168" s="12" t="inlineStr">
        <is>
          <t>2026-02-27</t>
        </is>
      </c>
      <c r="I168" s="13" t="n"/>
      <c r="J168" s="13" t="n">
        <v>8</v>
      </c>
      <c r="K168" s="13" t="n"/>
      <c r="L168" s="13" t="n">
        <v>2</v>
      </c>
      <c r="M168" s="11" t="n"/>
      <c r="N168" s="11" t="inlineStr">
        <is>
          <t>Carousel</t>
        </is>
      </c>
      <c r="O168" s="11" t="n"/>
      <c r="P168" s="11" t="n"/>
      <c r="Q168" s="11" t="n"/>
      <c r="R168" s="11" t="n"/>
      <c r="S168" s="11" t="n"/>
      <c r="T168" s="11" t="n"/>
      <c r="U168" s="11" t="n"/>
      <c r="V168" s="11" t="n"/>
      <c r="W168" s="11" t="n"/>
      <c r="X168" s="11" t="n"/>
      <c r="Y168" s="11" t="n"/>
      <c r="Z168" s="11" t="n"/>
      <c r="AA168" s="11" t="n"/>
      <c r="AB168" s="11" t="n"/>
      <c r="AC168" s="11" t="n"/>
      <c r="AD168" s="11" t="n"/>
      <c r="AE168" s="13">
        <f>SUM(O168:V168)</f>
        <v/>
      </c>
      <c r="AF168" s="13">
        <f>SUM(W168:AC168)</f>
        <v/>
      </c>
      <c r="AG168" s="13">
        <f>SUM(O168:AD168)</f>
        <v/>
      </c>
      <c r="AH168" s="11">
        <f>IF(AG168="","",IF(AG168&lt;=26,"Very Poor",IF(AG168&lt;=38,"Poor",IF(AG168&lt;=50,"Fair",IF(AG168&lt;=62,"Good","Excellent")))))</f>
        <v/>
      </c>
      <c r="AI168" s="11" t="n"/>
      <c r="AJ168" s="11" t="n"/>
      <c r="AK168" s="11" t="n"/>
      <c r="AL168" s="11" t="n"/>
      <c r="AM168" s="13">
        <f>COUNTIF(AI168:AL168,"Y")</f>
        <v/>
      </c>
      <c r="AN168" s="11" t="n"/>
    </row>
    <row r="169">
      <c r="A169" s="11" t="inlineStr">
        <is>
          <t>IG-18</t>
        </is>
      </c>
      <c r="B169" s="11" t="inlineStr">
        <is>
          <t>Instagram</t>
        </is>
      </c>
      <c r="C169" s="11" t="inlineStr">
        <is>
          <t>best exercises to lose weight</t>
        </is>
      </c>
      <c r="D169" s="11" t="inlineStr">
        <is>
          <t>https://www.instagram.com/p/DVPbLMrgFA9/</t>
        </is>
      </c>
      <c r="E169" s="11" t="inlineStr">
        <is>
          <t>“I actually enjoy waking up early.”⁠ ⁠ Read that again.⁠ ⁠ A grown woman with responsibilities (kids, work etc)⁠ choosing to wake up early… to lift weights.⁠ ⁠ Because she feels better after.⁠ Because she’s proud after!!!⁠ Because soreness hits different when it’s earned. 🌅🔥⁠ and because she's obviously a queen 👑⁠ ⁠ ⁠ #confidence #weightlosstips #weightlossworkout #healthylifestyle #fitnesspost</t>
        </is>
      </c>
      <c r="F169" s="11" t="inlineStr">
        <is>
          <t>Fitness Rx 🏋🏼‍♀️ Fitness for Every Level</t>
        </is>
      </c>
      <c r="G169" s="11" t="n"/>
      <c r="H169" s="12" t="inlineStr">
        <is>
          <t>2026-02-27</t>
        </is>
      </c>
      <c r="I169" s="13" t="n"/>
      <c r="J169" s="13" t="n">
        <v>2</v>
      </c>
      <c r="K169" s="13" t="n"/>
      <c r="L169" s="13" t="n">
        <v>1</v>
      </c>
      <c r="M169" s="11" t="n"/>
      <c r="N169" s="11" t="inlineStr">
        <is>
          <t>Carousel</t>
        </is>
      </c>
      <c r="O169" s="11" t="n"/>
      <c r="P169" s="11" t="n"/>
      <c r="Q169" s="11" t="n"/>
      <c r="R169" s="11" t="n"/>
      <c r="S169" s="11" t="n"/>
      <c r="T169" s="11" t="n"/>
      <c r="U169" s="11" t="n"/>
      <c r="V169" s="11" t="n"/>
      <c r="W169" s="11" t="n"/>
      <c r="X169" s="11" t="n"/>
      <c r="Y169" s="11" t="n"/>
      <c r="Z169" s="11" t="n"/>
      <c r="AA169" s="11" t="n"/>
      <c r="AB169" s="11" t="n"/>
      <c r="AC169" s="11" t="n"/>
      <c r="AD169" s="11" t="n"/>
      <c r="AE169" s="13">
        <f>SUM(O169:V169)</f>
        <v/>
      </c>
      <c r="AF169" s="13">
        <f>SUM(W169:AC169)</f>
        <v/>
      </c>
      <c r="AG169" s="13">
        <f>SUM(O169:AD169)</f>
        <v/>
      </c>
      <c r="AH169" s="11">
        <f>IF(AG169="","",IF(AG169&lt;=26,"Very Poor",IF(AG169&lt;=38,"Poor",IF(AG169&lt;=50,"Fair",IF(AG169&lt;=62,"Good","Excellent")))))</f>
        <v/>
      </c>
      <c r="AI169" s="11" t="n"/>
      <c r="AJ169" s="11" t="n"/>
      <c r="AK169" s="11" t="n"/>
      <c r="AL169" s="11" t="n"/>
      <c r="AM169" s="13">
        <f>COUNTIF(AI169:AL169,"Y")</f>
        <v/>
      </c>
      <c r="AN169" s="11" t="n"/>
    </row>
    <row r="170">
      <c r="A170" s="11" t="inlineStr">
        <is>
          <t>IG-19</t>
        </is>
      </c>
      <c r="B170" s="11" t="inlineStr">
        <is>
          <t>Instagram</t>
        </is>
      </c>
      <c r="C170" s="11" t="inlineStr">
        <is>
          <t>best exercises to lose weight</t>
        </is>
      </c>
      <c r="D170" s="11" t="inlineStr">
        <is>
          <t>https://www.instagram.com/p/DVMxzatktc0/</t>
        </is>
      </c>
      <c r="E170" s="11" t="inlineStr">
        <is>
          <t>20+ pounds down.⁠ ⁠ But.........⁠ The weight isn’t the headline.⁠ ⁠ The headline is she committed to eight weeks and followed through!!!⁠ ⁠ That’s our girl!!! ⁠ ⁠ ⁠ #confidence #weightlosstips #weightlossworkout #healthylifestyle #fitnesspost</t>
        </is>
      </c>
      <c r="F170" s="11" t="inlineStr">
        <is>
          <t>Fitness Rx 🏋🏼‍♀️ Fitness for Every Level</t>
        </is>
      </c>
      <c r="G170" s="11" t="n"/>
      <c r="H170" s="12" t="inlineStr">
        <is>
          <t>2026-02-25</t>
        </is>
      </c>
      <c r="I170" s="13" t="n"/>
      <c r="J170" s="13" t="n">
        <v>8</v>
      </c>
      <c r="K170" s="13" t="n"/>
      <c r="L170" s="13" t="n"/>
      <c r="M170" s="11" t="n"/>
      <c r="N170" s="11" t="inlineStr">
        <is>
          <t>Carousel</t>
        </is>
      </c>
      <c r="O170" s="11" t="n"/>
      <c r="P170" s="11" t="n"/>
      <c r="Q170" s="11" t="n"/>
      <c r="R170" s="11" t="n"/>
      <c r="S170" s="11" t="n"/>
      <c r="T170" s="11" t="n"/>
      <c r="U170" s="11" t="n"/>
      <c r="V170" s="11" t="n"/>
      <c r="W170" s="11" t="n"/>
      <c r="X170" s="11" t="n"/>
      <c r="Y170" s="11" t="n"/>
      <c r="Z170" s="11" t="n"/>
      <c r="AA170" s="11" t="n"/>
      <c r="AB170" s="11" t="n"/>
      <c r="AC170" s="11" t="n"/>
      <c r="AD170" s="11" t="n"/>
      <c r="AE170" s="13">
        <f>SUM(O170:V170)</f>
        <v/>
      </c>
      <c r="AF170" s="13">
        <f>SUM(W170:AC170)</f>
        <v/>
      </c>
      <c r="AG170" s="13">
        <f>SUM(O170:AD170)</f>
        <v/>
      </c>
      <c r="AH170" s="11">
        <f>IF(AG170="","",IF(AG170&lt;=26,"Very Poor",IF(AG170&lt;=38,"Poor",IF(AG170&lt;=50,"Fair",IF(AG170&lt;=62,"Good","Excellent")))))</f>
        <v/>
      </c>
      <c r="AI170" s="11" t="n"/>
      <c r="AJ170" s="11" t="n"/>
      <c r="AK170" s="11" t="n"/>
      <c r="AL170" s="11" t="n"/>
      <c r="AM170" s="13">
        <f>COUNTIF(AI170:AL170,"Y")</f>
        <v/>
      </c>
      <c r="AN170" s="11" t="n"/>
    </row>
    <row r="171">
      <c r="A171" s="11" t="inlineStr">
        <is>
          <t>IG-20</t>
        </is>
      </c>
      <c r="B171" s="11" t="inlineStr">
        <is>
          <t>Instagram</t>
        </is>
      </c>
      <c r="C171" s="11" t="inlineStr">
        <is>
          <t>best exercises to lose weight</t>
        </is>
      </c>
      <c r="D171" s="11" t="inlineStr">
        <is>
          <t>https://www.instagram.com/p/DVITHPQDbBp/</t>
        </is>
      </c>
      <c r="E171" s="11" t="inlineStr">
        <is>
          <t>@smoothieonlysmoothie  🍇smoothie diet full plan🍎👇           Link in our bio  #fitnessmotivation #fitnesslife #workout #weightlossworkout #smoothierecipes</t>
        </is>
      </c>
      <c r="F171" s="11" t="inlineStr">
        <is>
          <t>🍎smoothie diet lovers🍇</t>
        </is>
      </c>
      <c r="G171" s="11" t="n"/>
      <c r="H171" s="12" t="inlineStr">
        <is>
          <t>2026-02-24</t>
        </is>
      </c>
      <c r="I171" s="13" t="n"/>
      <c r="J171" s="13" t="n"/>
      <c r="K171" s="13" t="n"/>
      <c r="L171" s="13" t="n"/>
      <c r="M171" s="11" t="n"/>
      <c r="N171" s="11" t="inlineStr">
        <is>
          <t>Carousel</t>
        </is>
      </c>
      <c r="O171" s="11" t="n"/>
      <c r="P171" s="11" t="n"/>
      <c r="Q171" s="11" t="n"/>
      <c r="R171" s="11" t="n"/>
      <c r="S171" s="11" t="n"/>
      <c r="T171" s="11" t="n"/>
      <c r="U171" s="11" t="n"/>
      <c r="V171" s="11" t="n"/>
      <c r="W171" s="11" t="n"/>
      <c r="X171" s="11" t="n"/>
      <c r="Y171" s="11" t="n"/>
      <c r="Z171" s="11" t="n"/>
      <c r="AA171" s="11" t="n"/>
      <c r="AB171" s="11" t="n"/>
      <c r="AC171" s="11" t="n"/>
      <c r="AD171" s="11" t="n"/>
      <c r="AE171" s="13">
        <f>SUM(O171:V171)</f>
        <v/>
      </c>
      <c r="AF171" s="13">
        <f>SUM(W171:AC171)</f>
        <v/>
      </c>
      <c r="AG171" s="13">
        <f>SUM(O171:AD171)</f>
        <v/>
      </c>
      <c r="AH171" s="11">
        <f>IF(AG171="","",IF(AG171&lt;=26,"Very Poor",IF(AG171&lt;=38,"Poor",IF(AG171&lt;=50,"Fair",IF(AG171&lt;=62,"Good","Excellent")))))</f>
        <v/>
      </c>
      <c r="AI171" s="11" t="n"/>
      <c r="AJ171" s="11" t="n"/>
      <c r="AK171" s="11" t="n"/>
      <c r="AL171" s="11" t="n"/>
      <c r="AM171" s="13">
        <f>COUNTIF(AI171:AL171,"Y")</f>
        <v/>
      </c>
      <c r="AN171" s="11" t="n"/>
    </row>
    <row r="172">
      <c r="A172" s="11" t="inlineStr">
        <is>
          <t>IG-21</t>
        </is>
      </c>
      <c r="B172" s="11" t="inlineStr">
        <is>
          <t>Instagram</t>
        </is>
      </c>
      <c r="C172" s="11" t="inlineStr">
        <is>
          <t>strength training for beginners</t>
        </is>
      </c>
      <c r="D172" s="11" t="inlineStr">
        <is>
          <t>https://www.instagram.com/p/DVa0LB1FUM_/</t>
        </is>
      </c>
      <c r="E172" s="11" t="inlineStr">
        <is>
          <t>You want to start working out… but you’re scared of getting hurt again.⁠ ⁠ That hesitation? It makes sense.⁠ Most gyms throw you into random workouts and hope you figure it out.⁠ ⁠ At Courage Fitness Durham, we don’t do one-size-fits-all.⁠ ⁠ Our Quick Launch Program was built for people who want structure, support, and a real plan from day one.⁠ ⁠ Here’s what you actually get:⁠ ⁠ • A Day 1 Goal-Setting Session so we understand you, your history, your goals, your limits⁠ • Two 1:1 sessions inside</t>
        </is>
      </c>
      <c r="F172" s="11" t="inlineStr">
        <is>
          <t>Courage Fitness Durham</t>
        </is>
      </c>
      <c r="G172" s="11" t="n"/>
      <c r="H172" s="12" t="inlineStr">
        <is>
          <t>2026-03-03</t>
        </is>
      </c>
      <c r="I172" s="13" t="n"/>
      <c r="J172" s="13" t="n">
        <v>1</v>
      </c>
      <c r="K172" s="13" t="n"/>
      <c r="L172" s="13" t="n">
        <v>1</v>
      </c>
      <c r="M172" s="11" t="n"/>
      <c r="N172" s="11" t="inlineStr">
        <is>
          <t>Carousel</t>
        </is>
      </c>
      <c r="O172" s="11" t="n"/>
      <c r="P172" s="11" t="n"/>
      <c r="Q172" s="11" t="n"/>
      <c r="R172" s="11" t="n"/>
      <c r="S172" s="11" t="n"/>
      <c r="T172" s="11" t="n"/>
      <c r="U172" s="11" t="n"/>
      <c r="V172" s="11" t="n"/>
      <c r="W172" s="11" t="n"/>
      <c r="X172" s="11" t="n"/>
      <c r="Y172" s="11" t="n"/>
      <c r="Z172" s="11" t="n"/>
      <c r="AA172" s="11" t="n"/>
      <c r="AB172" s="11" t="n"/>
      <c r="AC172" s="11" t="n"/>
      <c r="AD172" s="11" t="n"/>
      <c r="AE172" s="13">
        <f>SUM(O172:V172)</f>
        <v/>
      </c>
      <c r="AF172" s="13">
        <f>SUM(W172:AC172)</f>
        <v/>
      </c>
      <c r="AG172" s="13">
        <f>SUM(O172:AD172)</f>
        <v/>
      </c>
      <c r="AH172" s="11">
        <f>IF(AG172="","",IF(AG172&lt;=26,"Very Poor",IF(AG172&lt;=38,"Poor",IF(AG172&lt;=50,"Fair",IF(AG172&lt;=62,"Good","Excellent")))))</f>
        <v/>
      </c>
      <c r="AI172" s="11" t="n"/>
      <c r="AJ172" s="11" t="n"/>
      <c r="AK172" s="11" t="n"/>
      <c r="AL172" s="11" t="n"/>
      <c r="AM172" s="13">
        <f>COUNTIF(AI172:AL172,"Y")</f>
        <v/>
      </c>
      <c r="AN172" s="11" t="n"/>
    </row>
    <row r="173">
      <c r="A173" s="11" t="inlineStr">
        <is>
          <t>IG-22</t>
        </is>
      </c>
      <c r="B173" s="11" t="inlineStr">
        <is>
          <t>Instagram</t>
        </is>
      </c>
      <c r="C173" s="11" t="inlineStr">
        <is>
          <t>strength training for beginners</t>
        </is>
      </c>
      <c r="D173" s="11" t="inlineStr">
        <is>
          <t>https://www.instagram.com/p/DVPmtu7gZUc/</t>
        </is>
      </c>
      <c r="E173" s="11" t="inlineStr">
        <is>
          <t>It’s the end of February.  Be honest…  How are those New Year’s resolutions going?  If you joined a cheap box gym in January, you’re not alone. They absolutely serve a purpose. They provide access and affordability.  But here’s the real question:  Have you seen progress?  Or have you: • Walked on the treadmill a few times • Done a couple random machines • Skipped days because you weren’t sure what to do • Slowly started going less  Most people don’t fail because they’re lazy. They fail because t</t>
        </is>
      </c>
      <c r="F173" s="11" t="inlineStr">
        <is>
          <t>Farrell’s - Maple Grove</t>
        </is>
      </c>
      <c r="G173" s="11" t="n"/>
      <c r="H173" s="12" t="inlineStr">
        <is>
          <t>2026-02-27</t>
        </is>
      </c>
      <c r="I173" s="13" t="n"/>
      <c r="J173" s="13" t="n">
        <v>8</v>
      </c>
      <c r="K173" s="13" t="n"/>
      <c r="L173" s="13" t="n">
        <v>1</v>
      </c>
      <c r="M173" s="11" t="n"/>
      <c r="N173" s="11" t="inlineStr">
        <is>
          <t>Carousel</t>
        </is>
      </c>
      <c r="O173" s="11" t="n"/>
      <c r="P173" s="11" t="n"/>
      <c r="Q173" s="11" t="n"/>
      <c r="R173" s="11" t="n"/>
      <c r="S173" s="11" t="n"/>
      <c r="T173" s="11" t="n"/>
      <c r="U173" s="11" t="n"/>
      <c r="V173" s="11" t="n"/>
      <c r="W173" s="11" t="n"/>
      <c r="X173" s="11" t="n"/>
      <c r="Y173" s="11" t="n"/>
      <c r="Z173" s="11" t="n"/>
      <c r="AA173" s="11" t="n"/>
      <c r="AB173" s="11" t="n"/>
      <c r="AC173" s="11" t="n"/>
      <c r="AD173" s="11" t="n"/>
      <c r="AE173" s="13">
        <f>SUM(O173:V173)</f>
        <v/>
      </c>
      <c r="AF173" s="13">
        <f>SUM(W173:AC173)</f>
        <v/>
      </c>
      <c r="AG173" s="13">
        <f>SUM(O173:AD173)</f>
        <v/>
      </c>
      <c r="AH173" s="11">
        <f>IF(AG173="","",IF(AG173&lt;=26,"Very Poor",IF(AG173&lt;=38,"Poor",IF(AG173&lt;=50,"Fair",IF(AG173&lt;=62,"Good","Excellent")))))</f>
        <v/>
      </c>
      <c r="AI173" s="11" t="n"/>
      <c r="AJ173" s="11" t="n"/>
      <c r="AK173" s="11" t="n"/>
      <c r="AL173" s="11" t="n"/>
      <c r="AM173" s="13">
        <f>COUNTIF(AI173:AL173,"Y")</f>
        <v/>
      </c>
      <c r="AN173" s="11" t="n"/>
    </row>
    <row r="174">
      <c r="A174" s="11" t="inlineStr">
        <is>
          <t>IG-23</t>
        </is>
      </c>
      <c r="B174" s="11" t="inlineStr">
        <is>
          <t>Instagram</t>
        </is>
      </c>
      <c r="C174" s="11" t="inlineStr">
        <is>
          <t>strength training for beginners</t>
        </is>
      </c>
      <c r="D174" s="11" t="inlineStr">
        <is>
          <t>https://www.instagram.com/p/DVNIsvGDH5s/</t>
        </is>
      </c>
      <c r="E174" s="11" t="inlineStr">
        <is>
          <t>Everyone is a beginner when they join Farrell's Maple Grove!   One of the biggest misconceptions about starting a fitness routine is that you need to go all in, you have to be in shape, or need to be a certain age or weight to start.  You don’t.  You start slower than you think. You focus on form. You build strength safely. You fuel your body properly.  This isn’t about punishment. It’s about learning how to train in a way that actually works.  Every person you see confident in this gym once fel</t>
        </is>
      </c>
      <c r="F174" s="11" t="inlineStr">
        <is>
          <t>Farrell’s - Maple Grove</t>
        </is>
      </c>
      <c r="G174" s="11" t="n"/>
      <c r="H174" s="12" t="inlineStr">
        <is>
          <t>2026-02-26</t>
        </is>
      </c>
      <c r="I174" s="13" t="n"/>
      <c r="J174" s="13" t="n">
        <v>4</v>
      </c>
      <c r="K174" s="13" t="n"/>
      <c r="L174" s="13" t="n">
        <v>1</v>
      </c>
      <c r="M174" s="11" t="n"/>
      <c r="N174" s="11" t="inlineStr">
        <is>
          <t>Carousel</t>
        </is>
      </c>
      <c r="O174" s="11" t="n"/>
      <c r="P174" s="11" t="n"/>
      <c r="Q174" s="11" t="n"/>
      <c r="R174" s="11" t="n"/>
      <c r="S174" s="11" t="n"/>
      <c r="T174" s="11" t="n"/>
      <c r="U174" s="11" t="n"/>
      <c r="V174" s="11" t="n"/>
      <c r="W174" s="11" t="n"/>
      <c r="X174" s="11" t="n"/>
      <c r="Y174" s="11" t="n"/>
      <c r="Z174" s="11" t="n"/>
      <c r="AA174" s="11" t="n"/>
      <c r="AB174" s="11" t="n"/>
      <c r="AC174" s="11" t="n"/>
      <c r="AD174" s="11" t="n"/>
      <c r="AE174" s="13">
        <f>SUM(O174:V174)</f>
        <v/>
      </c>
      <c r="AF174" s="13">
        <f>SUM(W174:AC174)</f>
        <v/>
      </c>
      <c r="AG174" s="13">
        <f>SUM(O174:AD174)</f>
        <v/>
      </c>
      <c r="AH174" s="11">
        <f>IF(AG174="","",IF(AG174&lt;=26,"Very Poor",IF(AG174&lt;=38,"Poor",IF(AG174&lt;=50,"Fair",IF(AG174&lt;=62,"Good","Excellent")))))</f>
        <v/>
      </c>
      <c r="AI174" s="11" t="n"/>
      <c r="AJ174" s="11" t="n"/>
      <c r="AK174" s="11" t="n"/>
      <c r="AL174" s="11" t="n"/>
      <c r="AM174" s="13">
        <f>COUNTIF(AI174:AL174,"Y")</f>
        <v/>
      </c>
      <c r="AN174" s="11" t="n"/>
    </row>
    <row r="175">
      <c r="A175" s="11" t="inlineStr">
        <is>
          <t>IG-24</t>
        </is>
      </c>
      <c r="B175" s="11" t="inlineStr">
        <is>
          <t>Instagram</t>
        </is>
      </c>
      <c r="C175" s="11" t="inlineStr">
        <is>
          <t>strength training for beginners</t>
        </is>
      </c>
      <c r="D175" s="11" t="inlineStr">
        <is>
          <t>https://www.instagram.com/p/DVKdD55DbPT/</t>
        </is>
      </c>
      <c r="E175" s="11" t="inlineStr">
        <is>
          <t>If you’ve been watching from a distance because you’re worried you won’t be able to keep up… this is for you.  Here's the truth, we have every level of fitness on this mat.  Busy moms. Dads restarting. People who haven't worked out in years Friends celebrating retirement Former athletes. True beginners. Members coming off injuries.  No one walks in “ready.”  Your first week isn’t about crushing it. It’s about learning how your body moves.  You have options. You choose your level. You take breaks</t>
        </is>
      </c>
      <c r="F175" s="11" t="inlineStr">
        <is>
          <t>Farrell’s - Maple Grove</t>
        </is>
      </c>
      <c r="G175" s="11" t="n"/>
      <c r="H175" s="12" t="inlineStr">
        <is>
          <t>2026-02-25</t>
        </is>
      </c>
      <c r="I175" s="13" t="n"/>
      <c r="J175" s="13" t="n">
        <v>3</v>
      </c>
      <c r="K175" s="13" t="n"/>
      <c r="L175" s="13" t="n">
        <v>1</v>
      </c>
      <c r="M175" s="11" t="n"/>
      <c r="N175" s="11" t="inlineStr">
        <is>
          <t>Carousel</t>
        </is>
      </c>
      <c r="O175" s="11" t="n"/>
      <c r="P175" s="11" t="n"/>
      <c r="Q175" s="11" t="n"/>
      <c r="R175" s="11" t="n"/>
      <c r="S175" s="11" t="n"/>
      <c r="T175" s="11" t="n"/>
      <c r="U175" s="11" t="n"/>
      <c r="V175" s="11" t="n"/>
      <c r="W175" s="11" t="n"/>
      <c r="X175" s="11" t="n"/>
      <c r="Y175" s="11" t="n"/>
      <c r="Z175" s="11" t="n"/>
      <c r="AA175" s="11" t="n"/>
      <c r="AB175" s="11" t="n"/>
      <c r="AC175" s="11" t="n"/>
      <c r="AD175" s="11" t="n"/>
      <c r="AE175" s="13">
        <f>SUM(O175:V175)</f>
        <v/>
      </c>
      <c r="AF175" s="13">
        <f>SUM(W175:AC175)</f>
        <v/>
      </c>
      <c r="AG175" s="13">
        <f>SUM(O175:AD175)</f>
        <v/>
      </c>
      <c r="AH175" s="11">
        <f>IF(AG175="","",IF(AG175&lt;=26,"Very Poor",IF(AG175&lt;=38,"Poor",IF(AG175&lt;=50,"Fair",IF(AG175&lt;=62,"Good","Excellent")))))</f>
        <v/>
      </c>
      <c r="AI175" s="11" t="n"/>
      <c r="AJ175" s="11" t="n"/>
      <c r="AK175" s="11" t="n"/>
      <c r="AL175" s="11" t="n"/>
      <c r="AM175" s="13">
        <f>COUNTIF(AI175:AL175,"Y")</f>
        <v/>
      </c>
      <c r="AN175" s="11" t="n"/>
    </row>
    <row r="176">
      <c r="A176" s="11" t="inlineStr">
        <is>
          <t>IG-25</t>
        </is>
      </c>
      <c r="B176" s="11" t="inlineStr">
        <is>
          <t>Instagram</t>
        </is>
      </c>
      <c r="C176" s="11" t="inlineStr">
        <is>
          <t>strength training for beginners</t>
        </is>
      </c>
      <c r="D176" s="11" t="inlineStr">
        <is>
          <t>https://www.instagram.com/p/DVBmjw6DiJG/</t>
        </is>
      </c>
      <c r="E176" s="11" t="inlineStr">
        <is>
          <t>If you’re ready to start strength training safely, then we’re hoping to see you next Thursday!  Expert instruction, zero guesswork and a plan to take home.  For more details or to register for the Strong Foundations Workshop head to link in our bio.   #happyhealthywealthy #strengthtrainingforbeginners #strengthtrainingworkshop #portlandmainephysicaltherapy #directaccesscare</t>
        </is>
      </c>
      <c r="F176" s="11" t="inlineStr">
        <is>
          <t>WorkFitME Mobile PT</t>
        </is>
      </c>
      <c r="G176" s="11" t="n"/>
      <c r="H176" s="12" t="inlineStr">
        <is>
          <t>2026-02-21</t>
        </is>
      </c>
      <c r="I176" s="13" t="n"/>
      <c r="J176" s="13" t="n">
        <v>2</v>
      </c>
      <c r="K176" s="13" t="n"/>
      <c r="L176" s="13" t="n"/>
      <c r="M176" s="11" t="n"/>
      <c r="N176" s="11" t="inlineStr">
        <is>
          <t>Carousel</t>
        </is>
      </c>
      <c r="O176" s="11" t="n"/>
      <c r="P176" s="11" t="n"/>
      <c r="Q176" s="11" t="n"/>
      <c r="R176" s="11" t="n"/>
      <c r="S176" s="11" t="n"/>
      <c r="T176" s="11" t="n"/>
      <c r="U176" s="11" t="n"/>
      <c r="V176" s="11" t="n"/>
      <c r="W176" s="11" t="n"/>
      <c r="X176" s="11" t="n"/>
      <c r="Y176" s="11" t="n"/>
      <c r="Z176" s="11" t="n"/>
      <c r="AA176" s="11" t="n"/>
      <c r="AB176" s="11" t="n"/>
      <c r="AC176" s="11" t="n"/>
      <c r="AD176" s="11" t="n"/>
      <c r="AE176" s="13">
        <f>SUM(O176:V176)</f>
        <v/>
      </c>
      <c r="AF176" s="13">
        <f>SUM(W176:AC176)</f>
        <v/>
      </c>
      <c r="AG176" s="13">
        <f>SUM(O176:AD176)</f>
        <v/>
      </c>
      <c r="AH176" s="11">
        <f>IF(AG176="","",IF(AG176&lt;=26,"Very Poor",IF(AG176&lt;=38,"Poor",IF(AG176&lt;=50,"Fair",IF(AG176&lt;=62,"Good","Excellent")))))</f>
        <v/>
      </c>
      <c r="AI176" s="11" t="n"/>
      <c r="AJ176" s="11" t="n"/>
      <c r="AK176" s="11" t="n"/>
      <c r="AL176" s="11" t="n"/>
      <c r="AM176" s="13">
        <f>COUNTIF(AI176:AL176,"Y")</f>
        <v/>
      </c>
      <c r="AN176" s="11" t="n"/>
    </row>
    <row r="177">
      <c r="A177" s="11" t="inlineStr">
        <is>
          <t>IG-26</t>
        </is>
      </c>
      <c r="B177" s="11" t="inlineStr">
        <is>
          <t>Instagram</t>
        </is>
      </c>
      <c r="C177" s="11" t="inlineStr">
        <is>
          <t>strength training for beginners</t>
        </is>
      </c>
      <c r="D177" s="11" t="inlineStr">
        <is>
          <t>https://www.instagram.com/p/DU-mr7wDF3b/</t>
        </is>
      </c>
      <c r="E177" s="11" t="inlineStr">
        <is>
          <t>You know you should lift… but where do you start?  If you’ve been thinking “I should do strength training”… you’re not alone.  Common reasons people stall: • Don’t know what to do • Worry about doing it wrong • Feel self-conscious in a gym  Here’s the fix: coached small group sessions where you’re guided every step.   You’ll learn the basics, build confidence, and feel supported from day one.  Message ‘FOUNDATION’ to get started.  #radlett #strengthtrainingforbeginners #smallgrouptraining #women</t>
        </is>
      </c>
      <c r="F177" s="11" t="inlineStr">
        <is>
          <t>FASED FITNESS CLUB RADLETT</t>
        </is>
      </c>
      <c r="G177" s="11" t="n"/>
      <c r="H177" s="12" t="inlineStr">
        <is>
          <t>2026-02-20</t>
        </is>
      </c>
      <c r="I177" s="13" t="n"/>
      <c r="J177" s="13" t="n">
        <v>21</v>
      </c>
      <c r="K177" s="13" t="n"/>
      <c r="L177" s="13" t="n">
        <v>5</v>
      </c>
      <c r="M177" s="11" t="n"/>
      <c r="N177" s="11" t="inlineStr">
        <is>
          <t>Carousel</t>
        </is>
      </c>
      <c r="O177" s="11" t="n"/>
      <c r="P177" s="11" t="n"/>
      <c r="Q177" s="11" t="n"/>
      <c r="R177" s="11" t="n"/>
      <c r="S177" s="11" t="n"/>
      <c r="T177" s="11" t="n"/>
      <c r="U177" s="11" t="n"/>
      <c r="V177" s="11" t="n"/>
      <c r="W177" s="11" t="n"/>
      <c r="X177" s="11" t="n"/>
      <c r="Y177" s="11" t="n"/>
      <c r="Z177" s="11" t="n"/>
      <c r="AA177" s="11" t="n"/>
      <c r="AB177" s="11" t="n"/>
      <c r="AC177" s="11" t="n"/>
      <c r="AD177" s="11" t="n"/>
      <c r="AE177" s="13">
        <f>SUM(O177:V177)</f>
        <v/>
      </c>
      <c r="AF177" s="13">
        <f>SUM(W177:AC177)</f>
        <v/>
      </c>
      <c r="AG177" s="13">
        <f>SUM(O177:AD177)</f>
        <v/>
      </c>
      <c r="AH177" s="11">
        <f>IF(AG177="","",IF(AG177&lt;=26,"Very Poor",IF(AG177&lt;=38,"Poor",IF(AG177&lt;=50,"Fair",IF(AG177&lt;=62,"Good","Excellent")))))</f>
        <v/>
      </c>
      <c r="AI177" s="11" t="n"/>
      <c r="AJ177" s="11" t="n"/>
      <c r="AK177" s="11" t="n"/>
      <c r="AL177" s="11" t="n"/>
      <c r="AM177" s="13">
        <f>COUNTIF(AI177:AL177,"Y")</f>
        <v/>
      </c>
      <c r="AN177" s="11" t="n"/>
    </row>
    <row r="178">
      <c r="A178" s="11" t="inlineStr">
        <is>
          <t>IG-27</t>
        </is>
      </c>
      <c r="B178" s="11" t="inlineStr">
        <is>
          <t>Instagram</t>
        </is>
      </c>
      <c r="C178" s="11" t="inlineStr">
        <is>
          <t>strength training for beginners</t>
        </is>
      </c>
      <c r="D178" s="11" t="inlineStr">
        <is>
          <t>https://www.instagram.com/p/DUk6gm1jGXv/</t>
        </is>
      </c>
      <c r="E178" s="11" t="inlineStr">
        <is>
          <t>Recover Stronger, Not Just Faster.  Resistance bands are one of the safest and most effective tools for rehabilitation — especially when you’re rebuilding strength after injury. They protect your joints, match your natural strength curve, and help you regain stability, mobility, and confidence without overwhelming your body.  From improving balance and functional strength to reducing pain and stiffness, resistance‑band rehab is clinically proven to support real recovery. Slow, controlled movemen</t>
        </is>
      </c>
      <c r="F178" s="11" t="inlineStr">
        <is>
          <t>Weights &amp; Glory</t>
        </is>
      </c>
      <c r="G178" s="11" t="n"/>
      <c r="H178" s="12" t="inlineStr">
        <is>
          <t>2026-02-10</t>
        </is>
      </c>
      <c r="I178" s="13" t="n"/>
      <c r="J178" s="13" t="n">
        <v>2</v>
      </c>
      <c r="K178" s="13" t="n"/>
      <c r="L178" s="13" t="n"/>
      <c r="M178" s="11" t="n"/>
      <c r="N178" s="11" t="inlineStr">
        <is>
          <t>Carousel</t>
        </is>
      </c>
      <c r="O178" s="11" t="n"/>
      <c r="P178" s="11" t="n"/>
      <c r="Q178" s="11" t="n"/>
      <c r="R178" s="11" t="n"/>
      <c r="S178" s="11" t="n"/>
      <c r="T178" s="11" t="n"/>
      <c r="U178" s="11" t="n"/>
      <c r="V178" s="11" t="n"/>
      <c r="W178" s="11" t="n"/>
      <c r="X178" s="11" t="n"/>
      <c r="Y178" s="11" t="n"/>
      <c r="Z178" s="11" t="n"/>
      <c r="AA178" s="11" t="n"/>
      <c r="AB178" s="11" t="n"/>
      <c r="AC178" s="11" t="n"/>
      <c r="AD178" s="11" t="n"/>
      <c r="AE178" s="13">
        <f>SUM(O178:V178)</f>
        <v/>
      </c>
      <c r="AF178" s="13">
        <f>SUM(W178:AC178)</f>
        <v/>
      </c>
      <c r="AG178" s="13">
        <f>SUM(O178:AD178)</f>
        <v/>
      </c>
      <c r="AH178" s="11">
        <f>IF(AG178="","",IF(AG178&lt;=26,"Very Poor",IF(AG178&lt;=38,"Poor",IF(AG178&lt;=50,"Fair",IF(AG178&lt;=62,"Good","Excellent")))))</f>
        <v/>
      </c>
      <c r="AI178" s="11" t="n"/>
      <c r="AJ178" s="11" t="n"/>
      <c r="AK178" s="11" t="n"/>
      <c r="AL178" s="11" t="n"/>
      <c r="AM178" s="13">
        <f>COUNTIF(AI178:AL178,"Y")</f>
        <v/>
      </c>
      <c r="AN178" s="11" t="n"/>
    </row>
    <row r="179">
      <c r="A179" s="11" t="inlineStr">
        <is>
          <t>IG-28</t>
        </is>
      </c>
      <c r="B179" s="11" t="inlineStr">
        <is>
          <t>Instagram</t>
        </is>
      </c>
      <c r="C179" s="11" t="inlineStr">
        <is>
          <t>strength training for beginners</t>
        </is>
      </c>
      <c r="D179" s="11" t="inlineStr">
        <is>
          <t>https://www.instagram.com/p/DUjIe0Hkb6Z/</t>
        </is>
      </c>
      <c r="E179" s="11" t="inlineStr">
        <is>
          <t>Most people think they need to feel ready, strong, or pain-free before they begin strength training.  In reality, confidence usually comes after you start — especially when you’re properly supported.  Our Intro to Strength Training programme is designed to help you begin safely, build confidence gradually, and feel supported every step of the way.  👉 If the email landed in your inbox today, this is your sign to read it.  Not on our email list? Comment 'STRENGTH' for more information  LFR | Guis</t>
        </is>
      </c>
      <c r="F179" s="11" t="inlineStr">
        <is>
          <t>Laura Franklin Rehab</t>
        </is>
      </c>
      <c r="G179" s="11" t="n"/>
      <c r="H179" s="12" t="inlineStr">
        <is>
          <t>2026-02-09</t>
        </is>
      </c>
      <c r="I179" s="13" t="n"/>
      <c r="J179" s="13" t="n">
        <v>17</v>
      </c>
      <c r="K179" s="13" t="n"/>
      <c r="L179" s="13" t="n"/>
      <c r="M179" s="11" t="n"/>
      <c r="N179" s="11" t="inlineStr">
        <is>
          <t>Carousel</t>
        </is>
      </c>
      <c r="O179" s="11" t="n"/>
      <c r="P179" s="11" t="n"/>
      <c r="Q179" s="11" t="n"/>
      <c r="R179" s="11" t="n"/>
      <c r="S179" s="11" t="n"/>
      <c r="T179" s="11" t="n"/>
      <c r="U179" s="11" t="n"/>
      <c r="V179" s="11" t="n"/>
      <c r="W179" s="11" t="n"/>
      <c r="X179" s="11" t="n"/>
      <c r="Y179" s="11" t="n"/>
      <c r="Z179" s="11" t="n"/>
      <c r="AA179" s="11" t="n"/>
      <c r="AB179" s="11" t="n"/>
      <c r="AC179" s="11" t="n"/>
      <c r="AD179" s="11" t="n"/>
      <c r="AE179" s="13">
        <f>SUM(O179:V179)</f>
        <v/>
      </c>
      <c r="AF179" s="13">
        <f>SUM(W179:AC179)</f>
        <v/>
      </c>
      <c r="AG179" s="13">
        <f>SUM(O179:AD179)</f>
        <v/>
      </c>
      <c r="AH179" s="11">
        <f>IF(AG179="","",IF(AG179&lt;=26,"Very Poor",IF(AG179&lt;=38,"Poor",IF(AG179&lt;=50,"Fair",IF(AG179&lt;=62,"Good","Excellent")))))</f>
        <v/>
      </c>
      <c r="AI179" s="11" t="n"/>
      <c r="AJ179" s="11" t="n"/>
      <c r="AK179" s="11" t="n"/>
      <c r="AL179" s="11" t="n"/>
      <c r="AM179" s="13">
        <f>COUNTIF(AI179:AL179,"Y")</f>
        <v/>
      </c>
      <c r="AN179" s="11" t="n"/>
    </row>
    <row r="180">
      <c r="A180" s="11" t="inlineStr">
        <is>
          <t>IG-29</t>
        </is>
      </c>
      <c r="B180" s="11" t="inlineStr">
        <is>
          <t>Instagram</t>
        </is>
      </c>
      <c r="C180" s="11" t="inlineStr">
        <is>
          <t>strength training for beginners</t>
        </is>
      </c>
      <c r="D180" s="11" t="inlineStr">
        <is>
          <t>https://www.instagram.com/p/DUiwrx1CAKc/</t>
        </is>
      </c>
      <c r="E180" s="11" t="inlineStr">
        <is>
          <t>Want a personal trainer that’s not only highly qualified &amp; experienced but is also actually RELATABLE too? …. You found me 👋🏻 🙋🏼‍♀️  So if you’re being shown my profile take this as your sign - let be friends 🫶🏻  #personaltrainernewcastle #womenspersonaltrainer #femalepersonaltrainer #strengthtrainingforwomen #strengthtrainingforbeginners</t>
        </is>
      </c>
      <c r="F180" s="11" t="inlineStr">
        <is>
          <t>Tess ✨Small Group fitness &amp; Personal Training</t>
        </is>
      </c>
      <c r="G180" s="11" t="n"/>
      <c r="H180" s="12" t="inlineStr">
        <is>
          <t>2026-02-09</t>
        </is>
      </c>
      <c r="I180" s="13" t="n"/>
      <c r="J180" s="13" t="n">
        <v>88</v>
      </c>
      <c r="K180" s="13" t="n"/>
      <c r="L180" s="13" t="n">
        <v>4</v>
      </c>
      <c r="M180" s="11" t="n"/>
      <c r="N180" s="11" t="inlineStr">
        <is>
          <t>Carousel</t>
        </is>
      </c>
      <c r="O180" s="11" t="n"/>
      <c r="P180" s="11" t="n"/>
      <c r="Q180" s="11" t="n"/>
      <c r="R180" s="11" t="n"/>
      <c r="S180" s="11" t="n"/>
      <c r="T180" s="11" t="n"/>
      <c r="U180" s="11" t="n"/>
      <c r="V180" s="11" t="n"/>
      <c r="W180" s="11" t="n"/>
      <c r="X180" s="11" t="n"/>
      <c r="Y180" s="11" t="n"/>
      <c r="Z180" s="11" t="n"/>
      <c r="AA180" s="11" t="n"/>
      <c r="AB180" s="11" t="n"/>
      <c r="AC180" s="11" t="n"/>
      <c r="AD180" s="11" t="n"/>
      <c r="AE180" s="13">
        <f>SUM(O180:V180)</f>
        <v/>
      </c>
      <c r="AF180" s="13">
        <f>SUM(W180:AC180)</f>
        <v/>
      </c>
      <c r="AG180" s="13">
        <f>SUM(O180:AD180)</f>
        <v/>
      </c>
      <c r="AH180" s="11">
        <f>IF(AG180="","",IF(AG180&lt;=26,"Very Poor",IF(AG180&lt;=38,"Poor",IF(AG180&lt;=50,"Fair",IF(AG180&lt;=62,"Good","Excellent")))))</f>
        <v/>
      </c>
      <c r="AI180" s="11" t="n"/>
      <c r="AJ180" s="11" t="n"/>
      <c r="AK180" s="11" t="n"/>
      <c r="AL180" s="11" t="n"/>
      <c r="AM180" s="13">
        <f>COUNTIF(AI180:AL180,"Y")</f>
        <v/>
      </c>
      <c r="AN180" s="11" t="n"/>
    </row>
    <row r="181">
      <c r="A181" s="11" t="inlineStr">
        <is>
          <t>IG-30</t>
        </is>
      </c>
      <c r="B181" s="11" t="inlineStr">
        <is>
          <t>Instagram</t>
        </is>
      </c>
      <c r="C181" s="11" t="inlineStr">
        <is>
          <t>strength training for beginners</t>
        </is>
      </c>
      <c r="D181" s="11" t="inlineStr">
        <is>
          <t>https://www.instagram.com/p/DUgIXDADZY2/</t>
        </is>
      </c>
      <c r="E181" s="11" t="inlineStr">
        <is>
          <t>Foundations in 15 launches TUESDAY FEBRUARY 10th!!💖 this post highlights what you can expect inside this 4 week self-paced strength training program for runners you are new or getting back into strength/resistance training.  I’ve been developing this program for a long time in hopes to reach more spoonies who aren’t quite looking for the deep dive of my one on one programs but want to dip their toe into working together in a lower cost, more accessible way.  Did I mention you STILL get support</t>
        </is>
      </c>
      <c r="F181" s="11" t="inlineStr">
        <is>
          <t>Kate B | PT, DPT | Spoonie Run Coach</t>
        </is>
      </c>
      <c r="G181" s="11" t="n"/>
      <c r="H181" s="12" t="inlineStr">
        <is>
          <t>2026-02-08</t>
        </is>
      </c>
      <c r="I181" s="13" t="n"/>
      <c r="J181" s="13" t="n">
        <v>25</v>
      </c>
      <c r="K181" s="13" t="n"/>
      <c r="L181" s="13" t="n">
        <v>2</v>
      </c>
      <c r="M181" s="11" t="n"/>
      <c r="N181" s="11" t="inlineStr">
        <is>
          <t>Carousel</t>
        </is>
      </c>
      <c r="O181" s="11" t="n"/>
      <c r="P181" s="11" t="n"/>
      <c r="Q181" s="11" t="n"/>
      <c r="R181" s="11" t="n"/>
      <c r="S181" s="11" t="n"/>
      <c r="T181" s="11" t="n"/>
      <c r="U181" s="11" t="n"/>
      <c r="V181" s="11" t="n"/>
      <c r="W181" s="11" t="n"/>
      <c r="X181" s="11" t="n"/>
      <c r="Y181" s="11" t="n"/>
      <c r="Z181" s="11" t="n"/>
      <c r="AA181" s="11" t="n"/>
      <c r="AB181" s="11" t="n"/>
      <c r="AC181" s="11" t="n"/>
      <c r="AD181" s="11" t="n"/>
      <c r="AE181" s="13">
        <f>SUM(O181:V181)</f>
        <v/>
      </c>
      <c r="AF181" s="13">
        <f>SUM(W181:AC181)</f>
        <v/>
      </c>
      <c r="AG181" s="13">
        <f>SUM(O181:AD181)</f>
        <v/>
      </c>
      <c r="AH181" s="11">
        <f>IF(AG181="","",IF(AG181&lt;=26,"Very Poor",IF(AG181&lt;=38,"Poor",IF(AG181&lt;=50,"Fair",IF(AG181&lt;=62,"Good","Excellent")))))</f>
        <v/>
      </c>
      <c r="AI181" s="11" t="n"/>
      <c r="AJ181" s="11" t="n"/>
      <c r="AK181" s="11" t="n"/>
      <c r="AL181" s="11" t="n"/>
      <c r="AM181" s="13">
        <f>COUNTIF(AI181:AL181,"Y")</f>
        <v/>
      </c>
      <c r="AN181" s="11" t="n"/>
    </row>
    <row r="182">
      <c r="A182" s="11" t="inlineStr">
        <is>
          <t>IG-31</t>
        </is>
      </c>
      <c r="B182" s="11" t="inlineStr">
        <is>
          <t>Instagram</t>
        </is>
      </c>
      <c r="C182" s="11" t="inlineStr">
        <is>
          <t>physical activity guidelines</t>
        </is>
      </c>
      <c r="D182" s="11" t="inlineStr">
        <is>
          <t>https://www.instagram.com/p/DVRYYTOjZXW/</t>
        </is>
      </c>
      <c r="E182" s="11" t="inlineStr">
        <is>
          <t>Working on the core and more at The Pattern Hall! Mat Pilates for everyone!  Wednesday 6.45pm Friday 9am   #core #matpilatesclass #strength #feelbetterlivebetter #painfree #posture #live #pilates #pushyourboundaries #showup #selfcare #physicalactivity  #physicalactivityguidelines #physicalactivityguidelines⛹️🤸🧘</t>
        </is>
      </c>
      <c r="F182" s="11" t="inlineStr">
        <is>
          <t>Suzannah Ford</t>
        </is>
      </c>
      <c r="G182" s="11" t="n"/>
      <c r="H182" s="12" t="inlineStr">
        <is>
          <t>2026-02-27</t>
        </is>
      </c>
      <c r="I182" s="13" t="n"/>
      <c r="J182" s="13" t="n">
        <v>12</v>
      </c>
      <c r="K182" s="13" t="n"/>
      <c r="L182" s="13" t="n">
        <v>4</v>
      </c>
      <c r="M182" s="11" t="n"/>
      <c r="N182" s="11" t="inlineStr">
        <is>
          <t>Carousel</t>
        </is>
      </c>
      <c r="O182" s="11" t="n"/>
      <c r="P182" s="11" t="n"/>
      <c r="Q182" s="11" t="n"/>
      <c r="R182" s="11" t="n"/>
      <c r="S182" s="11" t="n"/>
      <c r="T182" s="11" t="n"/>
      <c r="U182" s="11" t="n"/>
      <c r="V182" s="11" t="n"/>
      <c r="W182" s="11" t="n"/>
      <c r="X182" s="11" t="n"/>
      <c r="Y182" s="11" t="n"/>
      <c r="Z182" s="11" t="n"/>
      <c r="AA182" s="11" t="n"/>
      <c r="AB182" s="11" t="n"/>
      <c r="AC182" s="11" t="n"/>
      <c r="AD182" s="11" t="n"/>
      <c r="AE182" s="13">
        <f>SUM(O182:V182)</f>
        <v/>
      </c>
      <c r="AF182" s="13">
        <f>SUM(W182:AC182)</f>
        <v/>
      </c>
      <c r="AG182" s="13">
        <f>SUM(O182:AD182)</f>
        <v/>
      </c>
      <c r="AH182" s="11">
        <f>IF(AG182="","",IF(AG182&lt;=26,"Very Poor",IF(AG182&lt;=38,"Poor",IF(AG182&lt;=50,"Fair",IF(AG182&lt;=62,"Good","Excellent")))))</f>
        <v/>
      </c>
      <c r="AI182" s="11" t="n"/>
      <c r="AJ182" s="11" t="n"/>
      <c r="AK182" s="11" t="n"/>
      <c r="AL182" s="11" t="n"/>
      <c r="AM182" s="13">
        <f>COUNTIF(AI182:AL182,"Y")</f>
        <v/>
      </c>
      <c r="AN182" s="11" t="n"/>
    </row>
    <row r="183">
      <c r="A183" s="11" t="inlineStr">
        <is>
          <t>IG-32</t>
        </is>
      </c>
      <c r="B183" s="11" t="inlineStr">
        <is>
          <t>Instagram</t>
        </is>
      </c>
      <c r="C183" s="11" t="inlineStr">
        <is>
          <t>physical activity guidelines</t>
        </is>
      </c>
      <c r="D183" s="11" t="inlineStr">
        <is>
          <t>https://www.instagram.com/p/DVQm-xWigQn/</t>
        </is>
      </c>
      <c r="E183" s="11" t="inlineStr">
        <is>
          <t>Are you ready to start moving more in your everyday life?  You can teach an old dog new tricks 😀  We, along with @movingmedicineuk encourage you to take control of your wellbeing.  Even if you are a beginner, have a health condition or just want to get back into healthier habits, there's an activity out there for you. Explore activities to help you get moving at the link in the comments 👇  #PhysicalActivityGuidelines #PhysicalActivity #StartTheConversation #MovingMedicine #PartnerHub #BuildAct</t>
        </is>
      </c>
      <c r="F183" s="11" t="inlineStr">
        <is>
          <t>Everyday Active</t>
        </is>
      </c>
      <c r="G183" s="11" t="n"/>
      <c r="H183" s="12" t="inlineStr">
        <is>
          <t>2026-02-27</t>
        </is>
      </c>
      <c r="I183" s="13" t="n"/>
      <c r="J183" s="13" t="n"/>
      <c r="K183" s="13" t="n"/>
      <c r="L183" s="13" t="n">
        <v>1</v>
      </c>
      <c r="M183" s="11" t="n"/>
      <c r="N183" s="11" t="inlineStr">
        <is>
          <t>Carousel</t>
        </is>
      </c>
      <c r="O183" s="11" t="n"/>
      <c r="P183" s="11" t="n"/>
      <c r="Q183" s="11" t="n"/>
      <c r="R183" s="11" t="n"/>
      <c r="S183" s="11" t="n"/>
      <c r="T183" s="11" t="n"/>
      <c r="U183" s="11" t="n"/>
      <c r="V183" s="11" t="n"/>
      <c r="W183" s="11" t="n"/>
      <c r="X183" s="11" t="n"/>
      <c r="Y183" s="11" t="n"/>
      <c r="Z183" s="11" t="n"/>
      <c r="AA183" s="11" t="n"/>
      <c r="AB183" s="11" t="n"/>
      <c r="AC183" s="11" t="n"/>
      <c r="AD183" s="11" t="n"/>
      <c r="AE183" s="13">
        <f>SUM(O183:V183)</f>
        <v/>
      </c>
      <c r="AF183" s="13">
        <f>SUM(W183:AC183)</f>
        <v/>
      </c>
      <c r="AG183" s="13">
        <f>SUM(O183:AD183)</f>
        <v/>
      </c>
      <c r="AH183" s="11">
        <f>IF(AG183="","",IF(AG183&lt;=26,"Very Poor",IF(AG183&lt;=38,"Poor",IF(AG183&lt;=50,"Fair",IF(AG183&lt;=62,"Good","Excellent")))))</f>
        <v/>
      </c>
      <c r="AI183" s="11" t="n"/>
      <c r="AJ183" s="11" t="n"/>
      <c r="AK183" s="11" t="n"/>
      <c r="AL183" s="11" t="n"/>
      <c r="AM183" s="13">
        <f>COUNTIF(AI183:AL183,"Y")</f>
        <v/>
      </c>
      <c r="AN183" s="11" t="n"/>
    </row>
    <row r="184">
      <c r="A184" s="11" t="inlineStr">
        <is>
          <t>IG-33</t>
        </is>
      </c>
      <c r="B184" s="11" t="inlineStr">
        <is>
          <t>Instagram</t>
        </is>
      </c>
      <c r="C184" s="11" t="inlineStr">
        <is>
          <t>physical activity guidelines</t>
        </is>
      </c>
      <c r="D184" s="11" t="inlineStr">
        <is>
          <t>https://www.instagram.com/p/DVKz22tFzq6/</t>
        </is>
      </c>
      <c r="E184" s="11" t="inlineStr">
        <is>
          <t>Growing older doesn’t mean giving up the activities you’ve always enjoyed. Staying active can help you age safely, stay strong, and reduce your risk of injury. Learn tips for healthy aging at www.cdc.gov/still-going-strong/older-adults/index.html  #SpringIntoSummer #MoveYourWay #HealthyIowans #ActivePeopleHealthyNation #PhysicalActivityGuidelines #StillGoingStrong</t>
        </is>
      </c>
      <c r="F184" s="11" t="inlineStr">
        <is>
          <t>moveyourwayia</t>
        </is>
      </c>
      <c r="G184" s="11" t="n"/>
      <c r="H184" s="12" t="inlineStr">
        <is>
          <t>2026-02-25</t>
        </is>
      </c>
      <c r="I184" s="13" t="n"/>
      <c r="J184" s="13" t="n">
        <v>4</v>
      </c>
      <c r="K184" s="13" t="n"/>
      <c r="L184" s="13" t="n"/>
      <c r="M184" s="11" t="n"/>
      <c r="N184" s="11" t="inlineStr">
        <is>
          <t>Carousel</t>
        </is>
      </c>
      <c r="O184" s="11" t="n"/>
      <c r="P184" s="11" t="n"/>
      <c r="Q184" s="11" t="n"/>
      <c r="R184" s="11" t="n"/>
      <c r="S184" s="11" t="n"/>
      <c r="T184" s="11" t="n"/>
      <c r="U184" s="11" t="n"/>
      <c r="V184" s="11" t="n"/>
      <c r="W184" s="11" t="n"/>
      <c r="X184" s="11" t="n"/>
      <c r="Y184" s="11" t="n"/>
      <c r="Z184" s="11" t="n"/>
      <c r="AA184" s="11" t="n"/>
      <c r="AB184" s="11" t="n"/>
      <c r="AC184" s="11" t="n"/>
      <c r="AD184" s="11" t="n"/>
      <c r="AE184" s="13">
        <f>SUM(O184:V184)</f>
        <v/>
      </c>
      <c r="AF184" s="13">
        <f>SUM(W184:AC184)</f>
        <v/>
      </c>
      <c r="AG184" s="13">
        <f>SUM(O184:AD184)</f>
        <v/>
      </c>
      <c r="AH184" s="11">
        <f>IF(AG184="","",IF(AG184&lt;=26,"Very Poor",IF(AG184&lt;=38,"Poor",IF(AG184&lt;=50,"Fair",IF(AG184&lt;=62,"Good","Excellent")))))</f>
        <v/>
      </c>
      <c r="AI184" s="11" t="n"/>
      <c r="AJ184" s="11" t="n"/>
      <c r="AK184" s="11" t="n"/>
      <c r="AL184" s="11" t="n"/>
      <c r="AM184" s="13">
        <f>COUNTIF(AI184:AL184,"Y")</f>
        <v/>
      </c>
      <c r="AN184" s="11" t="n"/>
    </row>
    <row r="185">
      <c r="A185" s="11" t="inlineStr">
        <is>
          <t>IG-34</t>
        </is>
      </c>
      <c r="B185" s="11" t="inlineStr">
        <is>
          <t>Instagram</t>
        </is>
      </c>
      <c r="C185" s="11" t="inlineStr">
        <is>
          <t>physical activity guidelines</t>
        </is>
      </c>
      <c r="D185" s="11" t="inlineStr">
        <is>
          <t>https://www.instagram.com/p/DU-ladZDaxZ/</t>
        </is>
      </c>
      <c r="E185" s="11" t="inlineStr">
        <is>
          <t>Are you ready to start moving more in your everyday life?  Getting moving is as easy as sticking the kettle on 🍵  We, along with @movingmedicineuk encourage you to take control of your wellbeing.  Even if you are a beginner, have a health condition or just want to get back into healthier habits, there's an activity out there for you. Explore activities to help you get moving at the link in the comments 👇  #PhysicalActivityGuidelines #PhysicalActivity #StartTheConversation #MovingMedicine #Part</t>
        </is>
      </c>
      <c r="F185" s="11" t="inlineStr">
        <is>
          <t>Everyday Active</t>
        </is>
      </c>
      <c r="G185" s="11" t="n"/>
      <c r="H185" s="12" t="inlineStr">
        <is>
          <t>2026-02-20</t>
        </is>
      </c>
      <c r="I185" s="13" t="n"/>
      <c r="J185" s="13" t="n">
        <v>1</v>
      </c>
      <c r="K185" s="13" t="n"/>
      <c r="L185" s="13" t="n">
        <v>1</v>
      </c>
      <c r="M185" s="11" t="n"/>
      <c r="N185" s="11" t="inlineStr">
        <is>
          <t>Carousel</t>
        </is>
      </c>
      <c r="O185" s="11" t="n"/>
      <c r="P185" s="11" t="n"/>
      <c r="Q185" s="11" t="n"/>
      <c r="R185" s="11" t="n"/>
      <c r="S185" s="11" t="n"/>
      <c r="T185" s="11" t="n"/>
      <c r="U185" s="11" t="n"/>
      <c r="V185" s="11" t="n"/>
      <c r="W185" s="11" t="n"/>
      <c r="X185" s="11" t="n"/>
      <c r="Y185" s="11" t="n"/>
      <c r="Z185" s="11" t="n"/>
      <c r="AA185" s="11" t="n"/>
      <c r="AB185" s="11" t="n"/>
      <c r="AC185" s="11" t="n"/>
      <c r="AD185" s="11" t="n"/>
      <c r="AE185" s="13">
        <f>SUM(O185:V185)</f>
        <v/>
      </c>
      <c r="AF185" s="13">
        <f>SUM(W185:AC185)</f>
        <v/>
      </c>
      <c r="AG185" s="13">
        <f>SUM(O185:AD185)</f>
        <v/>
      </c>
      <c r="AH185" s="11">
        <f>IF(AG185="","",IF(AG185&lt;=26,"Very Poor",IF(AG185&lt;=38,"Poor",IF(AG185&lt;=50,"Fair",IF(AG185&lt;=62,"Good","Excellent")))))</f>
        <v/>
      </c>
      <c r="AI185" s="11" t="n"/>
      <c r="AJ185" s="11" t="n"/>
      <c r="AK185" s="11" t="n"/>
      <c r="AL185" s="11" t="n"/>
      <c r="AM185" s="13">
        <f>COUNTIF(AI185:AL185,"Y")</f>
        <v/>
      </c>
      <c r="AN185" s="11" t="n"/>
    </row>
    <row r="186">
      <c r="A186" s="11" t="inlineStr">
        <is>
          <t>IG-35</t>
        </is>
      </c>
      <c r="B186" s="11" t="inlineStr">
        <is>
          <t>Instagram</t>
        </is>
      </c>
      <c r="C186" s="11" t="inlineStr">
        <is>
          <t>physical activity guidelines</t>
        </is>
      </c>
      <c r="D186" s="11" t="inlineStr">
        <is>
          <t>https://www.instagram.com/p/DUksD88j6Pv/</t>
        </is>
      </c>
      <c r="E186" s="11" t="inlineStr">
        <is>
          <t>Did you know there are guidelines for physical activity for adults in Australia?  150-300 minutes of moderate activity per week and twice weekly strength training.  This may include organised activity such as exercise classes, going for a walk, run or bike ride. Or maybe its mowing the lawn or dancing to your favourite music in your lunge room! It all counts and its terribly important to remain fit and strong as we age.  Need help with motivation or accountability? Need help with that sore and b</t>
        </is>
      </c>
      <c r="F186" s="11" t="inlineStr">
        <is>
          <t>Balance Health Phillip Island</t>
        </is>
      </c>
      <c r="G186" s="11" t="n"/>
      <c r="H186" s="12" t="inlineStr">
        <is>
          <t>2026-02-10</t>
        </is>
      </c>
      <c r="I186" s="13" t="n"/>
      <c r="J186" s="13" t="n">
        <v>2</v>
      </c>
      <c r="K186" s="13" t="n"/>
      <c r="L186" s="13" t="n"/>
      <c r="M186" s="11" t="n"/>
      <c r="N186" s="11" t="inlineStr">
        <is>
          <t>Carousel</t>
        </is>
      </c>
      <c r="O186" s="11" t="n"/>
      <c r="P186" s="11" t="n"/>
      <c r="Q186" s="11" t="n"/>
      <c r="R186" s="11" t="n"/>
      <c r="S186" s="11" t="n"/>
      <c r="T186" s="11" t="n"/>
      <c r="U186" s="11" t="n"/>
      <c r="V186" s="11" t="n"/>
      <c r="W186" s="11" t="n"/>
      <c r="X186" s="11" t="n"/>
      <c r="Y186" s="11" t="n"/>
      <c r="Z186" s="11" t="n"/>
      <c r="AA186" s="11" t="n"/>
      <c r="AB186" s="11" t="n"/>
      <c r="AC186" s="11" t="n"/>
      <c r="AD186" s="11" t="n"/>
      <c r="AE186" s="13">
        <f>SUM(O186:V186)</f>
        <v/>
      </c>
      <c r="AF186" s="13">
        <f>SUM(W186:AC186)</f>
        <v/>
      </c>
      <c r="AG186" s="13">
        <f>SUM(O186:AD186)</f>
        <v/>
      </c>
      <c r="AH186" s="11">
        <f>IF(AG186="","",IF(AG186&lt;=26,"Very Poor",IF(AG186&lt;=38,"Poor",IF(AG186&lt;=50,"Fair",IF(AG186&lt;=62,"Good","Excellent")))))</f>
        <v/>
      </c>
      <c r="AI186" s="11" t="n"/>
      <c r="AJ186" s="11" t="n"/>
      <c r="AK186" s="11" t="n"/>
      <c r="AL186" s="11" t="n"/>
      <c r="AM186" s="13">
        <f>COUNTIF(AI186:AL186,"Y")</f>
        <v/>
      </c>
      <c r="AN186" s="11" t="n"/>
    </row>
    <row r="187">
      <c r="A187" s="11" t="inlineStr">
        <is>
          <t>IG-36</t>
        </is>
      </c>
      <c r="B187" s="11" t="inlineStr">
        <is>
          <t>Instagram</t>
        </is>
      </c>
      <c r="C187" s="11" t="inlineStr">
        <is>
          <t>physical activity guidelines</t>
        </is>
      </c>
      <c r="D187" s="11" t="inlineStr">
        <is>
          <t>https://www.instagram.com/p/DTkI42rjVVL/</t>
        </is>
      </c>
      <c r="E187" s="11" t="inlineStr">
        <is>
          <t>Are you ready to start moving more in your everyday life? Discover how at the link in the comments 👇  #PhysicalActivityGuidelines #MoveMore  @yourdisassist @kentcommunityhealth @kmpt_nhs @ekhuft @nhskentmedway @medwaynhs @medway_council_news @thewellbeinglink @darent_valley_hospital @visitkent @explore_kent @kcc_kent @kentlibraries @yourleisurekent @graveshambc @medwaysport @tmbc.kent @kentlibraries @visitmedway @maidstonebc @doverdc @ashfordbc @canterburycitycouncil @sevenoaksdistrictcouncil @</t>
        </is>
      </c>
      <c r="F187" s="11" t="inlineStr">
        <is>
          <t>Everyday Active</t>
        </is>
      </c>
      <c r="G187" s="11" t="n"/>
      <c r="H187" s="12" t="inlineStr">
        <is>
          <t>2026-01-16</t>
        </is>
      </c>
      <c r="I187" s="13" t="n"/>
      <c r="J187" s="13" t="n">
        <v>4</v>
      </c>
      <c r="K187" s="13" t="n"/>
      <c r="L187" s="13" t="n">
        <v>1</v>
      </c>
      <c r="M187" s="11" t="n"/>
      <c r="N187" s="11" t="inlineStr">
        <is>
          <t>Carousel</t>
        </is>
      </c>
      <c r="O187" s="11" t="n"/>
      <c r="P187" s="11" t="n"/>
      <c r="Q187" s="11" t="n"/>
      <c r="R187" s="11" t="n"/>
      <c r="S187" s="11" t="n"/>
      <c r="T187" s="11" t="n"/>
      <c r="U187" s="11" t="n"/>
      <c r="V187" s="11" t="n"/>
      <c r="W187" s="11" t="n"/>
      <c r="X187" s="11" t="n"/>
      <c r="Y187" s="11" t="n"/>
      <c r="Z187" s="11" t="n"/>
      <c r="AA187" s="11" t="n"/>
      <c r="AB187" s="11" t="n"/>
      <c r="AC187" s="11" t="n"/>
      <c r="AD187" s="11" t="n"/>
      <c r="AE187" s="13">
        <f>SUM(O187:V187)</f>
        <v/>
      </c>
      <c r="AF187" s="13">
        <f>SUM(W187:AC187)</f>
        <v/>
      </c>
      <c r="AG187" s="13">
        <f>SUM(O187:AD187)</f>
        <v/>
      </c>
      <c r="AH187" s="11">
        <f>IF(AG187="","",IF(AG187&lt;=26,"Very Poor",IF(AG187&lt;=38,"Poor",IF(AG187&lt;=50,"Fair",IF(AG187&lt;=62,"Good","Excellent")))))</f>
        <v/>
      </c>
      <c r="AI187" s="11" t="n"/>
      <c r="AJ187" s="11" t="n"/>
      <c r="AK187" s="11" t="n"/>
      <c r="AL187" s="11" t="n"/>
      <c r="AM187" s="13">
        <f>COUNTIF(AI187:AL187,"Y")</f>
        <v/>
      </c>
      <c r="AN187" s="11" t="n"/>
    </row>
    <row r="188">
      <c r="A188" s="11" t="inlineStr">
        <is>
          <t>IG-37</t>
        </is>
      </c>
      <c r="B188" s="11" t="inlineStr">
        <is>
          <t>Instagram</t>
        </is>
      </c>
      <c r="C188" s="11" t="inlineStr">
        <is>
          <t>physical activity guidelines</t>
        </is>
      </c>
      <c r="D188" s="11" t="inlineStr">
        <is>
          <t>https://www.instagram.com/p/DTcemzojZ5K/</t>
        </is>
      </c>
      <c r="E188" s="11" t="inlineStr">
        <is>
          <t>This National Obesity Awareness Week, we remind you that staying active reduces the risk of obesity and many diseases and improves mental health and overall wellbeing.  🎯 But how much exercise should we be doing? The UK government has published simple guidelines that will help you set some targets for how much activity to do.  There are various ones for adults, pregnant women, disabled adults and more. You can check them out at the link in the comments below 👇  Get started today 😊  #NationalO</t>
        </is>
      </c>
      <c r="F188" s="11" t="inlineStr">
        <is>
          <t>Everyday Active</t>
        </is>
      </c>
      <c r="G188" s="11" t="n"/>
      <c r="H188" s="12" t="inlineStr">
        <is>
          <t>2026-01-13</t>
        </is>
      </c>
      <c r="I188" s="13" t="n"/>
      <c r="J188" s="13" t="n">
        <v>5</v>
      </c>
      <c r="K188" s="13" t="n"/>
      <c r="L188" s="13" t="n">
        <v>1</v>
      </c>
      <c r="M188" s="11" t="n"/>
      <c r="N188" s="11" t="inlineStr">
        <is>
          <t>Carousel</t>
        </is>
      </c>
      <c r="O188" s="11" t="n"/>
      <c r="P188" s="11" t="n"/>
      <c r="Q188" s="11" t="n"/>
      <c r="R188" s="11" t="n"/>
      <c r="S188" s="11" t="n"/>
      <c r="T188" s="11" t="n"/>
      <c r="U188" s="11" t="n"/>
      <c r="V188" s="11" t="n"/>
      <c r="W188" s="11" t="n"/>
      <c r="X188" s="11" t="n"/>
      <c r="Y188" s="11" t="n"/>
      <c r="Z188" s="11" t="n"/>
      <c r="AA188" s="11" t="n"/>
      <c r="AB188" s="11" t="n"/>
      <c r="AC188" s="11" t="n"/>
      <c r="AD188" s="11" t="n"/>
      <c r="AE188" s="13">
        <f>SUM(O188:V188)</f>
        <v/>
      </c>
      <c r="AF188" s="13">
        <f>SUM(W188:AC188)</f>
        <v/>
      </c>
      <c r="AG188" s="13">
        <f>SUM(O188:AD188)</f>
        <v/>
      </c>
      <c r="AH188" s="11">
        <f>IF(AG188="","",IF(AG188&lt;=26,"Very Poor",IF(AG188&lt;=38,"Poor",IF(AG188&lt;=50,"Fair",IF(AG188&lt;=62,"Good","Excellent")))))</f>
        <v/>
      </c>
      <c r="AI188" s="11" t="n"/>
      <c r="AJ188" s="11" t="n"/>
      <c r="AK188" s="11" t="n"/>
      <c r="AL188" s="11" t="n"/>
      <c r="AM188" s="13">
        <f>COUNTIF(AI188:AL188,"Y")</f>
        <v/>
      </c>
      <c r="AN188" s="11" t="n"/>
    </row>
    <row r="189">
      <c r="A189" s="11" t="inlineStr">
        <is>
          <t>IG-38</t>
        </is>
      </c>
      <c r="B189" s="11" t="inlineStr">
        <is>
          <t>Instagram</t>
        </is>
      </c>
      <c r="C189" s="11" t="inlineStr">
        <is>
          <t>physical activity guidelines</t>
        </is>
      </c>
      <c r="D189" s="11" t="inlineStr">
        <is>
          <t>https://www.instagram.com/p/DTAloorDi2K/</t>
        </is>
      </c>
      <c r="E189" s="11" t="inlineStr">
        <is>
          <t>Regular exercise helps reduce the risk of chronic diseases like heart disease, type 2 diabetes, and some cancers.  #physicalactivitymanitoba #PhysicalActivityMatters #physicalactivityforlife #physicalactivitybenefits #physicalactivityandhealth #physicalactivityguidelines #physicalactivitypolicy #physicalactivityfacts</t>
        </is>
      </c>
      <c r="F189" s="11" t="inlineStr">
        <is>
          <t>PhysicalActivityManitoba</t>
        </is>
      </c>
      <c r="G189" s="11" t="n"/>
      <c r="H189" s="12" t="inlineStr">
        <is>
          <t>2026-01-02</t>
        </is>
      </c>
      <c r="I189" s="13" t="n"/>
      <c r="J189" s="13" t="n">
        <v>1</v>
      </c>
      <c r="K189" s="13" t="n"/>
      <c r="L189" s="13" t="n"/>
      <c r="M189" s="11" t="n"/>
      <c r="N189" s="11" t="inlineStr">
        <is>
          <t>Carousel</t>
        </is>
      </c>
      <c r="O189" s="11" t="n"/>
      <c r="P189" s="11" t="n"/>
      <c r="Q189" s="11" t="n"/>
      <c r="R189" s="11" t="n"/>
      <c r="S189" s="11" t="n"/>
      <c r="T189" s="11" t="n"/>
      <c r="U189" s="11" t="n"/>
      <c r="V189" s="11" t="n"/>
      <c r="W189" s="11" t="n"/>
      <c r="X189" s="11" t="n"/>
      <c r="Y189" s="11" t="n"/>
      <c r="Z189" s="11" t="n"/>
      <c r="AA189" s="11" t="n"/>
      <c r="AB189" s="11" t="n"/>
      <c r="AC189" s="11" t="n"/>
      <c r="AD189" s="11" t="n"/>
      <c r="AE189" s="13">
        <f>SUM(O189:V189)</f>
        <v/>
      </c>
      <c r="AF189" s="13">
        <f>SUM(W189:AC189)</f>
        <v/>
      </c>
      <c r="AG189" s="13">
        <f>SUM(O189:AD189)</f>
        <v/>
      </c>
      <c r="AH189" s="11">
        <f>IF(AG189="","",IF(AG189&lt;=26,"Very Poor",IF(AG189&lt;=38,"Poor",IF(AG189&lt;=50,"Fair",IF(AG189&lt;=62,"Good","Excellent")))))</f>
        <v/>
      </c>
      <c r="AI189" s="11" t="n"/>
      <c r="AJ189" s="11" t="n"/>
      <c r="AK189" s="11" t="n"/>
      <c r="AL189" s="11" t="n"/>
      <c r="AM189" s="13">
        <f>COUNTIF(AI189:AL189,"Y")</f>
        <v/>
      </c>
      <c r="AN189" s="11" t="n"/>
    </row>
    <row r="190">
      <c r="A190" s="11" t="inlineStr">
        <is>
          <t>IG-39</t>
        </is>
      </c>
      <c r="B190" s="11" t="inlineStr">
        <is>
          <t>Instagram</t>
        </is>
      </c>
      <c r="C190" s="11" t="inlineStr">
        <is>
          <t>physical activity guidelines</t>
        </is>
      </c>
      <c r="D190" s="11" t="inlineStr">
        <is>
          <t>https://www.instagram.com/p/DSebXakD6-I/</t>
        </is>
      </c>
      <c r="E190" s="11" t="inlineStr">
        <is>
          <t>Dr. Juana Willumsen, a leading technical officer at the World Health Organization (WHO), advancing global childhood health. She coordinated the organization’s first guidelines on physical activity, sedentary behavior, and sleep for children under five, and contributes significantly to policies on infant nutrition, obesity prevention, and early-life development, shaping evidence-based #strategies implemented globally.  #DrJuanaWillumsen #ChildhoodHealth #WHO #GlobalHealth #PhysicalActivityGuideli</t>
        </is>
      </c>
      <c r="F190" s="11" t="inlineStr">
        <is>
          <t>72 Dragons Health</t>
        </is>
      </c>
      <c r="G190" s="11" t="n"/>
      <c r="H190" s="12" t="inlineStr">
        <is>
          <t>2025-12-20</t>
        </is>
      </c>
      <c r="I190" s="13" t="n"/>
      <c r="J190" s="13" t="n">
        <v>5</v>
      </c>
      <c r="K190" s="13" t="n"/>
      <c r="L190" s="13" t="n"/>
      <c r="M190" s="11" t="n"/>
      <c r="N190" s="11" t="inlineStr">
        <is>
          <t>Carousel</t>
        </is>
      </c>
      <c r="O190" s="11" t="n"/>
      <c r="P190" s="11" t="n"/>
      <c r="Q190" s="11" t="n"/>
      <c r="R190" s="11" t="n"/>
      <c r="S190" s="11" t="n"/>
      <c r="T190" s="11" t="n"/>
      <c r="U190" s="11" t="n"/>
      <c r="V190" s="11" t="n"/>
      <c r="W190" s="11" t="n"/>
      <c r="X190" s="11" t="n"/>
      <c r="Y190" s="11" t="n"/>
      <c r="Z190" s="11" t="n"/>
      <c r="AA190" s="11" t="n"/>
      <c r="AB190" s="11" t="n"/>
      <c r="AC190" s="11" t="n"/>
      <c r="AD190" s="11" t="n"/>
      <c r="AE190" s="13">
        <f>SUM(O190:V190)</f>
        <v/>
      </c>
      <c r="AF190" s="13">
        <f>SUM(W190:AC190)</f>
        <v/>
      </c>
      <c r="AG190" s="13">
        <f>SUM(O190:AD190)</f>
        <v/>
      </c>
      <c r="AH190" s="11">
        <f>IF(AG190="","",IF(AG190&lt;=26,"Very Poor",IF(AG190&lt;=38,"Poor",IF(AG190&lt;=50,"Fair",IF(AG190&lt;=62,"Good","Excellent")))))</f>
        <v/>
      </c>
      <c r="AI190" s="11" t="n"/>
      <c r="AJ190" s="11" t="n"/>
      <c r="AK190" s="11" t="n"/>
      <c r="AL190" s="11" t="n"/>
      <c r="AM190" s="13">
        <f>COUNTIF(AI190:AL190,"Y")</f>
        <v/>
      </c>
      <c r="AN190" s="11" t="n"/>
    </row>
    <row r="191">
      <c r="A191" s="11" t="inlineStr">
        <is>
          <t>IG-40</t>
        </is>
      </c>
      <c r="B191" s="11" t="inlineStr">
        <is>
          <t>Instagram</t>
        </is>
      </c>
      <c r="C191" s="11" t="inlineStr">
        <is>
          <t>physical activity guidelines</t>
        </is>
      </c>
      <c r="D191" s="11" t="inlineStr">
        <is>
          <t>https://www.instagram.com/p/DSKICKvEnzY/</t>
        </is>
      </c>
      <c r="E191" s="11" t="inlineStr">
        <is>
          <t>Are you ready to start moving more in your everyday life?  Even gentle yoga counts as movement 🧘‍♀️  We, along with @movingmedicineuk encourage you to take control of your wellbeing.  Even if you are a beginner, have a health condition or just want to get back into healthier habits, there's an activity out there for you. Explore activities to help you get moving at the link in the comments 👇  #PhysicalActivityGuidelines #PhysicalActivity #StartTheConversation #MovingMedicine #PartnerHub #Build</t>
        </is>
      </c>
      <c r="F191" s="11" t="inlineStr">
        <is>
          <t>Everyday Active</t>
        </is>
      </c>
      <c r="G191" s="11" t="n"/>
      <c r="H191" s="12" t="inlineStr">
        <is>
          <t>2025-12-12</t>
        </is>
      </c>
      <c r="I191" s="13" t="n"/>
      <c r="J191" s="13" t="n">
        <v>1</v>
      </c>
      <c r="K191" s="13" t="n"/>
      <c r="L191" s="13" t="n">
        <v>1</v>
      </c>
      <c r="M191" s="11" t="n"/>
      <c r="N191" s="11" t="inlineStr">
        <is>
          <t>Carousel</t>
        </is>
      </c>
      <c r="O191" s="11" t="n"/>
      <c r="P191" s="11" t="n"/>
      <c r="Q191" s="11" t="n"/>
      <c r="R191" s="11" t="n"/>
      <c r="S191" s="11" t="n"/>
      <c r="T191" s="11" t="n"/>
      <c r="U191" s="11" t="n"/>
      <c r="V191" s="11" t="n"/>
      <c r="W191" s="11" t="n"/>
      <c r="X191" s="11" t="n"/>
      <c r="Y191" s="11" t="n"/>
      <c r="Z191" s="11" t="n"/>
      <c r="AA191" s="11" t="n"/>
      <c r="AB191" s="11" t="n"/>
      <c r="AC191" s="11" t="n"/>
      <c r="AD191" s="11" t="n"/>
      <c r="AE191" s="13">
        <f>SUM(O191:V191)</f>
        <v/>
      </c>
      <c r="AF191" s="13">
        <f>SUM(W191:AC191)</f>
        <v/>
      </c>
      <c r="AG191" s="13">
        <f>SUM(O191:AD191)</f>
        <v/>
      </c>
      <c r="AH191" s="11">
        <f>IF(AG191="","",IF(AG191&lt;=26,"Very Poor",IF(AG191&lt;=38,"Poor",IF(AG191&lt;=50,"Fair",IF(AG191&lt;=62,"Good","Excellent")))))</f>
        <v/>
      </c>
      <c r="AI191" s="11" t="n"/>
      <c r="AJ191" s="11" t="n"/>
      <c r="AK191" s="11" t="n"/>
      <c r="AL191" s="11" t="n"/>
      <c r="AM191" s="13">
        <f>COUNTIF(AI191:AL191,"Y")</f>
        <v/>
      </c>
      <c r="AN191" s="11" t="n"/>
    </row>
    <row r="192">
      <c r="A192" s="11" t="inlineStr">
        <is>
          <t>IG-41</t>
        </is>
      </c>
      <c r="B192" s="11" t="inlineStr">
        <is>
          <t>Instagram</t>
        </is>
      </c>
      <c r="C192" s="11" t="inlineStr">
        <is>
          <t>home workout routine</t>
        </is>
      </c>
      <c r="D192" s="11" t="inlineStr">
        <is>
          <t>https://www.instagram.com/p/DVZeQVFjNzj/</t>
        </is>
      </c>
      <c r="E192" s="11" t="inlineStr">
        <is>
          <t>Workout &amp; Plates. The perfect duo 👻</t>
        </is>
      </c>
      <c r="F192" s="11" t="inlineStr">
        <is>
          <t>Livia Voss</t>
        </is>
      </c>
      <c r="G192" s="11" t="n"/>
      <c r="H192" s="12" t="inlineStr">
        <is>
          <t>2026-03-02</t>
        </is>
      </c>
      <c r="I192" s="13" t="n"/>
      <c r="J192" s="13" t="n"/>
      <c r="K192" s="13" t="n"/>
      <c r="L192" s="13" t="n">
        <v>1</v>
      </c>
      <c r="M192" s="11" t="n"/>
      <c r="N192" s="11" t="inlineStr">
        <is>
          <t>Carousel</t>
        </is>
      </c>
      <c r="O192" s="11" t="n"/>
      <c r="P192" s="11" t="n"/>
      <c r="Q192" s="11" t="n"/>
      <c r="R192" s="11" t="n"/>
      <c r="S192" s="11" t="n"/>
      <c r="T192" s="11" t="n"/>
      <c r="U192" s="11" t="n"/>
      <c r="V192" s="11" t="n"/>
      <c r="W192" s="11" t="n"/>
      <c r="X192" s="11" t="n"/>
      <c r="Y192" s="11" t="n"/>
      <c r="Z192" s="11" t="n"/>
      <c r="AA192" s="11" t="n"/>
      <c r="AB192" s="11" t="n"/>
      <c r="AC192" s="11" t="n"/>
      <c r="AD192" s="11" t="n"/>
      <c r="AE192" s="13">
        <f>SUM(O192:V192)</f>
        <v/>
      </c>
      <c r="AF192" s="13">
        <f>SUM(W192:AC192)</f>
        <v/>
      </c>
      <c r="AG192" s="13">
        <f>SUM(O192:AD192)</f>
        <v/>
      </c>
      <c r="AH192" s="11">
        <f>IF(AG192="","",IF(AG192&lt;=26,"Very Poor",IF(AG192&lt;=38,"Poor",IF(AG192&lt;=50,"Fair",IF(AG192&lt;=62,"Good","Excellent")))))</f>
        <v/>
      </c>
      <c r="AI192" s="11" t="n"/>
      <c r="AJ192" s="11" t="n"/>
      <c r="AK192" s="11" t="n"/>
      <c r="AL192" s="11" t="n"/>
      <c r="AM192" s="13">
        <f>COUNTIF(AI192:AL192,"Y")</f>
        <v/>
      </c>
      <c r="AN192" s="11" t="n"/>
    </row>
    <row r="193">
      <c r="A193" s="11" t="inlineStr">
        <is>
          <t>IG-42</t>
        </is>
      </c>
      <c r="B193" s="11" t="inlineStr">
        <is>
          <t>Instagram</t>
        </is>
      </c>
      <c r="C193" s="11" t="inlineStr">
        <is>
          <t>home workout routine</t>
        </is>
      </c>
      <c r="D193" s="11" t="inlineStr">
        <is>
          <t>https://www.instagram.com/p/DVTBXqIFOGC/</t>
        </is>
      </c>
      <c r="E193" s="11" t="inlineStr">
        <is>
          <t>You’ve been training legs for months — but are you actually training your inner thighs?  Most people aren’t.  It’s not a motivation problem. It’s an activation problem.  One Pilates circle and suddenly there’s nowhere to hide.  Shaking legs. Core on fire.  That “ohhh this is what I was missing” feeling? Addictive.  #buyreformer #PilatesLife #CoreActivation #InnerThighWorkout #HomeWorkoutRoutine #LowImpactBurn #MindfulMovement #FitnessJourney</t>
        </is>
      </c>
      <c r="F193" s="11" t="inlineStr">
        <is>
          <t>BuyReformer</t>
        </is>
      </c>
      <c r="G193" s="11" t="n"/>
      <c r="H193" s="12" t="inlineStr">
        <is>
          <t>2026-02-28</t>
        </is>
      </c>
      <c r="I193" s="13" t="n"/>
      <c r="J193" s="13" t="n">
        <v>2</v>
      </c>
      <c r="K193" s="13" t="n"/>
      <c r="L193" s="13" t="n"/>
      <c r="M193" s="11" t="n"/>
      <c r="N193" s="11" t="inlineStr">
        <is>
          <t>Carousel</t>
        </is>
      </c>
      <c r="O193" s="11" t="n"/>
      <c r="P193" s="11" t="n"/>
      <c r="Q193" s="11" t="n"/>
      <c r="R193" s="11" t="n"/>
      <c r="S193" s="11" t="n"/>
      <c r="T193" s="11" t="n"/>
      <c r="U193" s="11" t="n"/>
      <c r="V193" s="11" t="n"/>
      <c r="W193" s="11" t="n"/>
      <c r="X193" s="11" t="n"/>
      <c r="Y193" s="11" t="n"/>
      <c r="Z193" s="11" t="n"/>
      <c r="AA193" s="11" t="n"/>
      <c r="AB193" s="11" t="n"/>
      <c r="AC193" s="11" t="n"/>
      <c r="AD193" s="11" t="n"/>
      <c r="AE193" s="13">
        <f>SUM(O193:V193)</f>
        <v/>
      </c>
      <c r="AF193" s="13">
        <f>SUM(W193:AC193)</f>
        <v/>
      </c>
      <c r="AG193" s="13">
        <f>SUM(O193:AD193)</f>
        <v/>
      </c>
      <c r="AH193" s="11">
        <f>IF(AG193="","",IF(AG193&lt;=26,"Very Poor",IF(AG193&lt;=38,"Poor",IF(AG193&lt;=50,"Fair",IF(AG193&lt;=62,"Good","Excellent")))))</f>
        <v/>
      </c>
      <c r="AI193" s="11" t="n"/>
      <c r="AJ193" s="11" t="n"/>
      <c r="AK193" s="11" t="n"/>
      <c r="AL193" s="11" t="n"/>
      <c r="AM193" s="13">
        <f>COUNTIF(AI193:AL193,"Y")</f>
        <v/>
      </c>
      <c r="AN193" s="11" t="n"/>
    </row>
    <row r="194">
      <c r="A194" s="11" t="inlineStr">
        <is>
          <t>IG-43</t>
        </is>
      </c>
      <c r="B194" s="11" t="inlineStr">
        <is>
          <t>Instagram</t>
        </is>
      </c>
      <c r="C194" s="11" t="inlineStr">
        <is>
          <t>home workout routine</t>
        </is>
      </c>
      <c r="D194" s="11" t="inlineStr">
        <is>
          <t>https://www.instagram.com/p/DVSQsFLAan_/</t>
        </is>
      </c>
      <c r="E194" s="11" t="inlineStr">
        <is>
          <t>Good morning 🌞 Sabado  #homeworkout  #homeworkoutroutine  #earlypasingot  #fypviralシ  #photooftheday</t>
        </is>
      </c>
      <c r="F194" s="11" t="inlineStr">
        <is>
          <t>Miriam Tagupa</t>
        </is>
      </c>
      <c r="G194" s="11" t="n"/>
      <c r="H194" s="12" t="inlineStr">
        <is>
          <t>2026-02-28</t>
        </is>
      </c>
      <c r="I194" s="13" t="n"/>
      <c r="J194" s="13" t="n">
        <v>1</v>
      </c>
      <c r="K194" s="13" t="n"/>
      <c r="L194" s="13" t="n">
        <v>1</v>
      </c>
      <c r="M194" s="11" t="n"/>
      <c r="N194" s="11" t="inlineStr">
        <is>
          <t>Carousel</t>
        </is>
      </c>
      <c r="O194" s="11" t="n"/>
      <c r="P194" s="11" t="n"/>
      <c r="Q194" s="11" t="n"/>
      <c r="R194" s="11" t="n"/>
      <c r="S194" s="11" t="n"/>
      <c r="T194" s="11" t="n"/>
      <c r="U194" s="11" t="n"/>
      <c r="V194" s="11" t="n"/>
      <c r="W194" s="11" t="n"/>
      <c r="X194" s="11" t="n"/>
      <c r="Y194" s="11" t="n"/>
      <c r="Z194" s="11" t="n"/>
      <c r="AA194" s="11" t="n"/>
      <c r="AB194" s="11" t="n"/>
      <c r="AC194" s="11" t="n"/>
      <c r="AD194" s="11" t="n"/>
      <c r="AE194" s="13">
        <f>SUM(O194:V194)</f>
        <v/>
      </c>
      <c r="AF194" s="13">
        <f>SUM(W194:AC194)</f>
        <v/>
      </c>
      <c r="AG194" s="13">
        <f>SUM(O194:AD194)</f>
        <v/>
      </c>
      <c r="AH194" s="11">
        <f>IF(AG194="","",IF(AG194&lt;=26,"Very Poor",IF(AG194&lt;=38,"Poor",IF(AG194&lt;=50,"Fair",IF(AG194&lt;=62,"Good","Excellent")))))</f>
        <v/>
      </c>
      <c r="AI194" s="11" t="n"/>
      <c r="AJ194" s="11" t="n"/>
      <c r="AK194" s="11" t="n"/>
      <c r="AL194" s="11" t="n"/>
      <c r="AM194" s="13">
        <f>COUNTIF(AI194:AL194,"Y")</f>
        <v/>
      </c>
      <c r="AN194" s="11" t="n"/>
    </row>
    <row r="195">
      <c r="A195" s="11" t="inlineStr">
        <is>
          <t>IG-44</t>
        </is>
      </c>
      <c r="B195" s="11" t="inlineStr">
        <is>
          <t>Instagram</t>
        </is>
      </c>
      <c r="C195" s="11" t="inlineStr">
        <is>
          <t>home workout routine</t>
        </is>
      </c>
      <c r="D195" s="11" t="inlineStr">
        <is>
          <t>https://www.instagram.com/p/DVbX6g4AQyd/</t>
        </is>
      </c>
      <c r="E195" s="11" t="inlineStr">
        <is>
          <t>Strength at home, confidence for life. 💪✨ New blog: At-Home Strength Training for Women Over 50 — simple exercises, practical tips, and routines designed for comfort and results. Tap the link in bio to read and start today. Link in Bio #WomenOver50 #HomeWorkout #StrengthTraining #HealthyAging #FitAfter50</t>
        </is>
      </c>
      <c r="F195" s="11" t="inlineStr">
        <is>
          <t>Dr. K Health Coaching for Women 40+</t>
        </is>
      </c>
      <c r="G195" s="11" t="n"/>
      <c r="H195" s="12" t="inlineStr">
        <is>
          <t>2026-03-03</t>
        </is>
      </c>
      <c r="I195" s="13" t="n"/>
      <c r="J195" s="13" t="n"/>
      <c r="K195" s="13" t="n"/>
      <c r="L195" s="13" t="n"/>
      <c r="M195" s="11" t="n"/>
      <c r="N195" s="11" t="inlineStr">
        <is>
          <t>Carousel</t>
        </is>
      </c>
      <c r="O195" s="11" t="n"/>
      <c r="P195" s="11" t="n"/>
      <c r="Q195" s="11" t="n"/>
      <c r="R195" s="11" t="n"/>
      <c r="S195" s="11" t="n"/>
      <c r="T195" s="11" t="n"/>
      <c r="U195" s="11" t="n"/>
      <c r="V195" s="11" t="n"/>
      <c r="W195" s="11" t="n"/>
      <c r="X195" s="11" t="n"/>
      <c r="Y195" s="11" t="n"/>
      <c r="Z195" s="11" t="n"/>
      <c r="AA195" s="11" t="n"/>
      <c r="AB195" s="11" t="n"/>
      <c r="AC195" s="11" t="n"/>
      <c r="AD195" s="11" t="n"/>
      <c r="AE195" s="13">
        <f>SUM(O195:V195)</f>
        <v/>
      </c>
      <c r="AF195" s="13">
        <f>SUM(W195:AC195)</f>
        <v/>
      </c>
      <c r="AG195" s="13">
        <f>SUM(O195:AD195)</f>
        <v/>
      </c>
      <c r="AH195" s="11">
        <f>IF(AG195="","",IF(AG195&lt;=26,"Very Poor",IF(AG195&lt;=38,"Poor",IF(AG195&lt;=50,"Fair",IF(AG195&lt;=62,"Good","Excellent")))))</f>
        <v/>
      </c>
      <c r="AI195" s="11" t="n"/>
      <c r="AJ195" s="11" t="n"/>
      <c r="AK195" s="11" t="n"/>
      <c r="AL195" s="11" t="n"/>
      <c r="AM195" s="13">
        <f>COUNTIF(AI195:AL195,"Y")</f>
        <v/>
      </c>
      <c r="AN195" s="11" t="n"/>
    </row>
    <row r="196">
      <c r="A196" s="11" t="inlineStr">
        <is>
          <t>IG-45</t>
        </is>
      </c>
      <c r="B196" s="11" t="inlineStr">
        <is>
          <t>Instagram</t>
        </is>
      </c>
      <c r="C196" s="11" t="inlineStr">
        <is>
          <t>home workout routine</t>
        </is>
      </c>
      <c r="D196" s="11" t="inlineStr">
        <is>
          <t>https://www.instagram.com/p/DVbXrzUjhiV/</t>
        </is>
      </c>
      <c r="E196" s="11" t="n"/>
      <c r="F196" s="11" t="inlineStr">
        <is>
          <t>Acero Gym</t>
        </is>
      </c>
      <c r="G196" s="11" t="n"/>
      <c r="H196" s="12" t="inlineStr">
        <is>
          <t>2026-03-03</t>
        </is>
      </c>
      <c r="I196" s="13" t="n"/>
      <c r="J196" s="13" t="n"/>
      <c r="K196" s="13" t="n"/>
      <c r="L196" s="13" t="n">
        <v>1</v>
      </c>
      <c r="M196" s="11" t="n"/>
      <c r="N196" s="11" t="inlineStr">
        <is>
          <t>Carousel</t>
        </is>
      </c>
      <c r="O196" s="11" t="n"/>
      <c r="P196" s="11" t="n"/>
      <c r="Q196" s="11" t="n"/>
      <c r="R196" s="11" t="n"/>
      <c r="S196" s="11" t="n"/>
      <c r="T196" s="11" t="n"/>
      <c r="U196" s="11" t="n"/>
      <c r="V196" s="11" t="n"/>
      <c r="W196" s="11" t="n"/>
      <c r="X196" s="11" t="n"/>
      <c r="Y196" s="11" t="n"/>
      <c r="Z196" s="11" t="n"/>
      <c r="AA196" s="11" t="n"/>
      <c r="AB196" s="11" t="n"/>
      <c r="AC196" s="11" t="n"/>
      <c r="AD196" s="11" t="n"/>
      <c r="AE196" s="13">
        <f>SUM(O196:V196)</f>
        <v/>
      </c>
      <c r="AF196" s="13">
        <f>SUM(W196:AC196)</f>
        <v/>
      </c>
      <c r="AG196" s="13">
        <f>SUM(O196:AD196)</f>
        <v/>
      </c>
      <c r="AH196" s="11">
        <f>IF(AG196="","",IF(AG196&lt;=26,"Very Poor",IF(AG196&lt;=38,"Poor",IF(AG196&lt;=50,"Fair",IF(AG196&lt;=62,"Good","Excellent")))))</f>
        <v/>
      </c>
      <c r="AI196" s="11" t="n"/>
      <c r="AJ196" s="11" t="n"/>
      <c r="AK196" s="11" t="n"/>
      <c r="AL196" s="11" t="n"/>
      <c r="AM196" s="13">
        <f>COUNTIF(AI196:AL196,"Y")</f>
        <v/>
      </c>
      <c r="AN196" s="11" t="n"/>
    </row>
    <row r="197">
      <c r="A197" s="11" t="inlineStr">
        <is>
          <t>IG-46</t>
        </is>
      </c>
      <c r="B197" s="11" t="inlineStr">
        <is>
          <t>Instagram</t>
        </is>
      </c>
      <c r="C197" s="11" t="inlineStr">
        <is>
          <t>home workout routine</t>
        </is>
      </c>
      <c r="D197" s="11" t="inlineStr">
        <is>
          <t>https://www.instagram.com/p/DVbVO3YifMx/</t>
        </is>
      </c>
      <c r="E197" s="11" t="inlineStr">
        <is>
          <t>Show  them  how badly you want it ❗⚜️ . . . . . . . . . .#homeworkout  . . . . . . . . . .#fitness</t>
        </is>
      </c>
      <c r="F197" s="11" t="inlineStr">
        <is>
          <t>𝖒𝖆𝖓𝖚 ⚜️</t>
        </is>
      </c>
      <c r="G197" s="11" t="n"/>
      <c r="H197" s="12" t="inlineStr">
        <is>
          <t>2026-03-03</t>
        </is>
      </c>
      <c r="I197" s="13" t="n"/>
      <c r="J197" s="13" t="n"/>
      <c r="K197" s="13" t="n"/>
      <c r="L197" s="13" t="n"/>
      <c r="M197" s="11" t="n"/>
      <c r="N197" s="11" t="inlineStr">
        <is>
          <t>Carousel</t>
        </is>
      </c>
      <c r="O197" s="11" t="n"/>
      <c r="P197" s="11" t="n"/>
      <c r="Q197" s="11" t="n"/>
      <c r="R197" s="11" t="n"/>
      <c r="S197" s="11" t="n"/>
      <c r="T197" s="11" t="n"/>
      <c r="U197" s="11" t="n"/>
      <c r="V197" s="11" t="n"/>
      <c r="W197" s="11" t="n"/>
      <c r="X197" s="11" t="n"/>
      <c r="Y197" s="11" t="n"/>
      <c r="Z197" s="11" t="n"/>
      <c r="AA197" s="11" t="n"/>
      <c r="AB197" s="11" t="n"/>
      <c r="AC197" s="11" t="n"/>
      <c r="AD197" s="11" t="n"/>
      <c r="AE197" s="13">
        <f>SUM(O197:V197)</f>
        <v/>
      </c>
      <c r="AF197" s="13">
        <f>SUM(W197:AC197)</f>
        <v/>
      </c>
      <c r="AG197" s="13">
        <f>SUM(O197:AD197)</f>
        <v/>
      </c>
      <c r="AH197" s="11">
        <f>IF(AG197="","",IF(AG197&lt;=26,"Very Poor",IF(AG197&lt;=38,"Poor",IF(AG197&lt;=50,"Fair",IF(AG197&lt;=62,"Good","Excellent")))))</f>
        <v/>
      </c>
      <c r="AI197" s="11" t="n"/>
      <c r="AJ197" s="11" t="n"/>
      <c r="AK197" s="11" t="n"/>
      <c r="AL197" s="11" t="n"/>
      <c r="AM197" s="13">
        <f>COUNTIF(AI197:AL197,"Y")</f>
        <v/>
      </c>
      <c r="AN197" s="11" t="n"/>
    </row>
    <row r="198">
      <c r="A198" s="11" t="inlineStr">
        <is>
          <t>IG-47</t>
        </is>
      </c>
      <c r="B198" s="11" t="inlineStr">
        <is>
          <t>Instagram</t>
        </is>
      </c>
      <c r="C198" s="11" t="inlineStr">
        <is>
          <t>home workout routine</t>
        </is>
      </c>
      <c r="D198" s="11" t="inlineStr">
        <is>
          <t>https://www.instagram.com/p/DVbVAj7iEdp/</t>
        </is>
      </c>
      <c r="E198" s="11" t="inlineStr">
        <is>
          <t>You don’t need another diet—you need education, structure, and support. That’s what I provide for Arizona fitness and nutrition clients.  #fitnesstips #fitlife #fitnessgoals #fitnessvideo #fitstagram #workouttips #workoutgoals #fitnessmotivation #healthyhabits #workoutroutine #fitnesscoach #workoutideas #homeworkout</t>
        </is>
      </c>
      <c r="F198" s="11" t="inlineStr">
        <is>
          <t>Personalized Fitness, Nutrition &amp; Yoga : Certified Trainers</t>
        </is>
      </c>
      <c r="G198" s="11" t="n"/>
      <c r="H198" s="12" t="inlineStr">
        <is>
          <t>2026-03-03</t>
        </is>
      </c>
      <c r="I198" s="13" t="n"/>
      <c r="J198" s="13" t="n"/>
      <c r="K198" s="13" t="n"/>
      <c r="L198" s="13" t="n"/>
      <c r="M198" s="11" t="n"/>
      <c r="N198" s="11" t="inlineStr">
        <is>
          <t>Carousel</t>
        </is>
      </c>
      <c r="O198" s="11" t="n"/>
      <c r="P198" s="11" t="n"/>
      <c r="Q198" s="11" t="n"/>
      <c r="R198" s="11" t="n"/>
      <c r="S198" s="11" t="n"/>
      <c r="T198" s="11" t="n"/>
      <c r="U198" s="11" t="n"/>
      <c r="V198" s="11" t="n"/>
      <c r="W198" s="11" t="n"/>
      <c r="X198" s="11" t="n"/>
      <c r="Y198" s="11" t="n"/>
      <c r="Z198" s="11" t="n"/>
      <c r="AA198" s="11" t="n"/>
      <c r="AB198" s="11" t="n"/>
      <c r="AC198" s="11" t="n"/>
      <c r="AD198" s="11" t="n"/>
      <c r="AE198" s="13">
        <f>SUM(O198:V198)</f>
        <v/>
      </c>
      <c r="AF198" s="13">
        <f>SUM(W198:AC198)</f>
        <v/>
      </c>
      <c r="AG198" s="13">
        <f>SUM(O198:AD198)</f>
        <v/>
      </c>
      <c r="AH198" s="11">
        <f>IF(AG198="","",IF(AG198&lt;=26,"Very Poor",IF(AG198&lt;=38,"Poor",IF(AG198&lt;=50,"Fair",IF(AG198&lt;=62,"Good","Excellent")))))</f>
        <v/>
      </c>
      <c r="AI198" s="11" t="n"/>
      <c r="AJ198" s="11" t="n"/>
      <c r="AK198" s="11" t="n"/>
      <c r="AL198" s="11" t="n"/>
      <c r="AM198" s="13">
        <f>COUNTIF(AI198:AL198,"Y")</f>
        <v/>
      </c>
      <c r="AN198" s="11" t="n"/>
    </row>
    <row r="199">
      <c r="A199" s="11" t="inlineStr">
        <is>
          <t>IG-48</t>
        </is>
      </c>
      <c r="B199" s="11" t="inlineStr">
        <is>
          <t>Instagram</t>
        </is>
      </c>
      <c r="C199" s="11" t="inlineStr">
        <is>
          <t>home workout routine</t>
        </is>
      </c>
      <c r="D199" s="11" t="inlineStr">
        <is>
          <t>https://www.instagram.com/p/DVbUV-EktfN/</t>
        </is>
      </c>
      <c r="E199" s="11" t="inlineStr">
        <is>
          <t>STARTED FROM ZERO 💥 . . . . . . . . . #fitness#feed#homeworkout</t>
        </is>
      </c>
      <c r="F199" s="11" t="inlineStr">
        <is>
          <t>अप्पू</t>
        </is>
      </c>
      <c r="G199" s="11" t="n"/>
      <c r="H199" s="12" t="inlineStr">
        <is>
          <t>2026-03-03</t>
        </is>
      </c>
      <c r="I199" s="13" t="n"/>
      <c r="J199" s="13" t="n">
        <v>31</v>
      </c>
      <c r="K199" s="13" t="n"/>
      <c r="L199" s="13" t="n">
        <v>14</v>
      </c>
      <c r="M199" s="11" t="n"/>
      <c r="N199" s="11" t="inlineStr">
        <is>
          <t>Carousel</t>
        </is>
      </c>
      <c r="O199" s="11" t="n"/>
      <c r="P199" s="11" t="n"/>
      <c r="Q199" s="11" t="n"/>
      <c r="R199" s="11" t="n"/>
      <c r="S199" s="11" t="n"/>
      <c r="T199" s="11" t="n"/>
      <c r="U199" s="11" t="n"/>
      <c r="V199" s="11" t="n"/>
      <c r="W199" s="11" t="n"/>
      <c r="X199" s="11" t="n"/>
      <c r="Y199" s="11" t="n"/>
      <c r="Z199" s="11" t="n"/>
      <c r="AA199" s="11" t="n"/>
      <c r="AB199" s="11" t="n"/>
      <c r="AC199" s="11" t="n"/>
      <c r="AD199" s="11" t="n"/>
      <c r="AE199" s="13">
        <f>SUM(O199:V199)</f>
        <v/>
      </c>
      <c r="AF199" s="13">
        <f>SUM(W199:AC199)</f>
        <v/>
      </c>
      <c r="AG199" s="13">
        <f>SUM(O199:AD199)</f>
        <v/>
      </c>
      <c r="AH199" s="11">
        <f>IF(AG199="","",IF(AG199&lt;=26,"Very Poor",IF(AG199&lt;=38,"Poor",IF(AG199&lt;=50,"Fair",IF(AG199&lt;=62,"Good","Excellent")))))</f>
        <v/>
      </c>
      <c r="AI199" s="11" t="n"/>
      <c r="AJ199" s="11" t="n"/>
      <c r="AK199" s="11" t="n"/>
      <c r="AL199" s="11" t="n"/>
      <c r="AM199" s="13">
        <f>COUNTIF(AI199:AL199,"Y")</f>
        <v/>
      </c>
      <c r="AN199" s="11" t="n"/>
    </row>
    <row r="200">
      <c r="A200" s="11" t="inlineStr">
        <is>
          <t>IG-49</t>
        </is>
      </c>
      <c r="B200" s="11" t="inlineStr">
        <is>
          <t>Instagram</t>
        </is>
      </c>
      <c r="C200" s="11" t="inlineStr">
        <is>
          <t>home workout routine</t>
        </is>
      </c>
      <c r="D200" s="11" t="inlineStr">
        <is>
          <t>https://www.instagram.com/p/DVbTk6KDs5r/</t>
        </is>
      </c>
      <c r="E200" s="11" t="inlineStr">
        <is>
          <t>03.03.26  Simple 4 station, 40 minute full body workout. 3 rounds per station. 40 seconds on, 20 off.  #wod #sweat440 #homeworkout #austinfitness #fitnessmotivation</t>
        </is>
      </c>
      <c r="F200" s="11" t="inlineStr">
        <is>
          <t>Anthony Flores</t>
        </is>
      </c>
      <c r="G200" s="11" t="n"/>
      <c r="H200" s="12" t="inlineStr">
        <is>
          <t>2026-03-03</t>
        </is>
      </c>
      <c r="I200" s="13" t="n"/>
      <c r="J200" s="13" t="n">
        <v>2</v>
      </c>
      <c r="K200" s="13" t="n"/>
      <c r="L200" s="13" t="n">
        <v>4</v>
      </c>
      <c r="M200" s="11" t="n"/>
      <c r="N200" s="11" t="inlineStr">
        <is>
          <t>Carousel</t>
        </is>
      </c>
      <c r="O200" s="11" t="n"/>
      <c r="P200" s="11" t="n"/>
      <c r="Q200" s="11" t="n"/>
      <c r="R200" s="11" t="n"/>
      <c r="S200" s="11" t="n"/>
      <c r="T200" s="11" t="n"/>
      <c r="U200" s="11" t="n"/>
      <c r="V200" s="11" t="n"/>
      <c r="W200" s="11" t="n"/>
      <c r="X200" s="11" t="n"/>
      <c r="Y200" s="11" t="n"/>
      <c r="Z200" s="11" t="n"/>
      <c r="AA200" s="11" t="n"/>
      <c r="AB200" s="11" t="n"/>
      <c r="AC200" s="11" t="n"/>
      <c r="AD200" s="11" t="n"/>
      <c r="AE200" s="13">
        <f>SUM(O200:V200)</f>
        <v/>
      </c>
      <c r="AF200" s="13">
        <f>SUM(W200:AC200)</f>
        <v/>
      </c>
      <c r="AG200" s="13">
        <f>SUM(O200:AD200)</f>
        <v/>
      </c>
      <c r="AH200" s="11">
        <f>IF(AG200="","",IF(AG200&lt;=26,"Very Poor",IF(AG200&lt;=38,"Poor",IF(AG200&lt;=50,"Fair",IF(AG200&lt;=62,"Good","Excellent")))))</f>
        <v/>
      </c>
      <c r="AI200" s="11" t="n"/>
      <c r="AJ200" s="11" t="n"/>
      <c r="AK200" s="11" t="n"/>
      <c r="AL200" s="11" t="n"/>
      <c r="AM200" s="13">
        <f>COUNTIF(AI200:AL200,"Y")</f>
        <v/>
      </c>
      <c r="AN200" s="11" t="n"/>
    </row>
    <row r="201">
      <c r="A201" s="11" t="inlineStr">
        <is>
          <t>IG-50</t>
        </is>
      </c>
      <c r="B201" s="11" t="inlineStr">
        <is>
          <t>Instagram</t>
        </is>
      </c>
      <c r="C201" s="11" t="inlineStr">
        <is>
          <t>home workout routine</t>
        </is>
      </c>
      <c r="D201" s="11" t="inlineStr">
        <is>
          <t>https://www.instagram.com/p/DVbTjN_DcnY/</t>
        </is>
      </c>
      <c r="E201" s="11" t="inlineStr">
        <is>
          <t>Another Full body workout in the books.  Set up another routine so I'm not repeating the same exercises I did yesterday. . Also did my weigh in this morning and I've lost 3 lbs (hopefully belly fat 😂) . Today goes out to @brandyn_wayne  . . . . . . . . . . . . . #homeworkout #homegym #gymgeek #gymlife #fitness</t>
        </is>
      </c>
      <c r="F201" s="11" t="inlineStr">
        <is>
          <t>JFrostyb</t>
        </is>
      </c>
      <c r="G201" s="11" t="n"/>
      <c r="H201" s="12" t="inlineStr">
        <is>
          <t>2026-03-03</t>
        </is>
      </c>
      <c r="I201" s="13" t="n"/>
      <c r="J201" s="13" t="n"/>
      <c r="K201" s="13" t="n"/>
      <c r="L201" s="13" t="n">
        <v>1</v>
      </c>
      <c r="M201" s="11" t="n"/>
      <c r="N201" s="11" t="inlineStr">
        <is>
          <t>Carousel</t>
        </is>
      </c>
      <c r="O201" s="11" t="n"/>
      <c r="P201" s="11" t="n"/>
      <c r="Q201" s="11" t="n"/>
      <c r="R201" s="11" t="n"/>
      <c r="S201" s="11" t="n"/>
      <c r="T201" s="11" t="n"/>
      <c r="U201" s="11" t="n"/>
      <c r="V201" s="11" t="n"/>
      <c r="W201" s="11" t="n"/>
      <c r="X201" s="11" t="n"/>
      <c r="Y201" s="11" t="n"/>
      <c r="Z201" s="11" t="n"/>
      <c r="AA201" s="11" t="n"/>
      <c r="AB201" s="11" t="n"/>
      <c r="AC201" s="11" t="n"/>
      <c r="AD201" s="11" t="n"/>
      <c r="AE201" s="13">
        <f>SUM(O201:V201)</f>
        <v/>
      </c>
      <c r="AF201" s="13">
        <f>SUM(W201:AC201)</f>
        <v/>
      </c>
      <c r="AG201" s="13">
        <f>SUM(O201:AD201)</f>
        <v/>
      </c>
      <c r="AH201" s="11">
        <f>IF(AG201="","",IF(AG201&lt;=26,"Very Poor",IF(AG201&lt;=38,"Poor",IF(AG201&lt;=50,"Fair",IF(AG201&lt;=62,"Good","Excellent")))))</f>
        <v/>
      </c>
      <c r="AI201" s="11" t="n"/>
      <c r="AJ201" s="11" t="n"/>
      <c r="AK201" s="11" t="n"/>
      <c r="AL201" s="11" t="n"/>
      <c r="AM201" s="13">
        <f>COUNTIF(AI201:AL201,"Y")</f>
        <v/>
      </c>
      <c r="AN201" s="11" t="n"/>
    </row>
  </sheetData>
  <conditionalFormatting sqref="AH2:AH201">
    <cfRule type="cellIs" priority="1" operator="equal" dxfId="0">
      <formula>"Very Poor"</formula>
    </cfRule>
    <cfRule type="cellIs" priority="2" operator="equal" dxfId="1">
      <formula>"Poor"</formula>
    </cfRule>
    <cfRule type="cellIs" priority="3" operator="equal" dxfId="2">
      <formula>"Fair"</formula>
    </cfRule>
    <cfRule type="cellIs" priority="4" operator="equal" dxfId="3">
      <formula>"Good"</formula>
    </cfRule>
    <cfRule type="cellIs" priority="5" operator="equal" dxfId="4">
      <formula>"Excellent"</formula>
    </cfRule>
  </conditionalFormatting>
  <conditionalFormatting sqref="AG2:AG201">
    <cfRule type="colorScale" priority="6">
      <colorScale>
        <cfvo type="num" val="16"/>
        <cfvo type="num" val="48"/>
        <cfvo type="num" val="80"/>
        <color rgb="00FF0000"/>
        <color rgb="00FFD700"/>
        <color rgb="00228B22"/>
      </colorScale>
    </cfRule>
  </conditionalFormatting>
  <conditionalFormatting sqref="AM2:AM201">
    <cfRule type="colorScale" priority="7">
      <colorScale>
        <cfvo type="num" val="0"/>
        <cfvo type="num" val="2"/>
        <cfvo type="num" val="4"/>
        <color rgb="00FF0000"/>
        <color rgb="00FFD700"/>
        <color rgb="00228B22"/>
      </colorScale>
    </cfRule>
  </conditionalFormatting>
  <dataValidations count="4">
    <dataValidation sqref="M2:M201" showDropDown="0" showInputMessage="1" showErrorMessage="1" allowBlank="1" errorTitle="Invalid Creator Type" error="Please select a valid Creator Type" promptTitle="Creator Type" prompt="Select the creator type" type="list">
      <formula1>"Healthcare professional,Certified fitness professional,Fitness influencer,General user,Organization"</formula1>
    </dataValidation>
    <dataValidation sqref="N2:N201" showDropDown="0" showInputMessage="1" showErrorMessage="1" allowBlank="1" errorTitle="Invalid Content Format" error="Please select a valid Content Format" promptTitle="Content Format" prompt="Select the content format" type="list">
      <formula1>"Text article,Long video (&gt;5min),Short video (&lt;60s),Image+caption,Carousel"</formula1>
    </dataValidation>
    <dataValidation sqref="O2:O201 P2:P201 Q2:Q201 R2:R201 S2:S201 T2:T201 U2:U201 V2:V201 W2:W201 X2:X201 Y2:Y201 Z2:Z201 AA2:AA201 AB2:AB201 AC2:AC201 AD2:AD201" showDropDown="0" showInputMessage="1" showErrorMessage="1" allowBlank="1" errorTitle="Invalid DISCERN Score" error="Please enter a value between 1 and 5" promptTitle="DISCERN Rating" prompt="Rate 1 (No) to 5 (Yes)" type="list">
      <formula1>"1,2,3,4,5"</formula1>
    </dataValidation>
    <dataValidation sqref="AI2:AI201 AJ2:AJ201 AK2:AK201 AL2:AL201" showDropDown="0" showInputMessage="1" showErrorMessage="1" allowBlank="1" errorTitle="Invalid Entry" error="Please enter Y or N" promptTitle="JAMA Benchmark" prompt="Enter Y (Yes) or N (No)"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8" customWidth="1" min="5" max="5"/>
    <col width="15" customWidth="1" min="6" max="6"/>
    <col width="15" customWidth="1" min="7" max="7"/>
    <col width="15" customWidth="1" min="8" max="8"/>
    <col width="17" customWidth="1" min="9" max="9"/>
    <col width="14" customWidth="1" min="10" max="10"/>
    <col width="14" customWidth="1" min="11" max="11"/>
    <col width="14" customWidth="1" min="12" max="12"/>
    <col width="17" customWidth="1" min="13" max="13"/>
    <col width="14" customWidth="1" min="14" max="14"/>
    <col width="14" customWidth="1" min="15" max="15"/>
    <col width="15" customWidth="1" min="16" max="16"/>
    <col width="23" customWidth="1" min="17" max="17"/>
    <col width="24" customWidth="1" min="18" max="18"/>
    <col width="23" customWidth="1" min="19" max="19"/>
    <col width="21" customWidth="1" min="20" max="20"/>
  </cols>
  <sheetData>
    <row r="1" ht="35" customHeight="1">
      <c r="A1" s="1" t="inlineStr">
        <is>
          <t>Platform</t>
        </is>
      </c>
      <c r="B1" s="1" t="inlineStr">
        <is>
          <t>N</t>
        </is>
      </c>
      <c r="C1" s="1" t="inlineStr">
        <is>
          <t>DISCERN_Mean</t>
        </is>
      </c>
      <c r="D1" s="1" t="inlineStr">
        <is>
          <t>DISCERN_SD</t>
        </is>
      </c>
      <c r="E1" s="1" t="inlineStr">
        <is>
          <t>DISCERN_Median</t>
        </is>
      </c>
      <c r="F1" s="1" t="inlineStr">
        <is>
          <t>DISCERN_IQR</t>
        </is>
      </c>
      <c r="G1" s="1" t="inlineStr">
        <is>
          <t>DISCERN_Min</t>
        </is>
      </c>
      <c r="H1" s="1" t="inlineStr">
        <is>
          <t>DISCERN_Max</t>
        </is>
      </c>
      <c r="I1" s="1" t="inlineStr">
        <is>
          <t>Pct_Very_Poor</t>
        </is>
      </c>
      <c r="J1" s="1" t="inlineStr">
        <is>
          <t>Pct_Poor</t>
        </is>
      </c>
      <c r="K1" s="1" t="inlineStr">
        <is>
          <t>Pct_Fair</t>
        </is>
      </c>
      <c r="L1" s="1" t="inlineStr">
        <is>
          <t>Pct_Good</t>
        </is>
      </c>
      <c r="M1" s="1" t="inlineStr">
        <is>
          <t>Pct_Excellent</t>
        </is>
      </c>
      <c r="N1" s="1" t="inlineStr">
        <is>
          <t>JAMA_Mean</t>
        </is>
      </c>
      <c r="O1" s="1" t="inlineStr">
        <is>
          <t>JAMA_SD</t>
        </is>
      </c>
      <c r="P1" s="1" t="inlineStr">
        <is>
          <t>JAMA_Median</t>
        </is>
      </c>
      <c r="Q1" s="1" t="inlineStr">
        <is>
          <t>JAMA_Authorship_Pct</t>
        </is>
      </c>
      <c r="R1" s="1" t="inlineStr">
        <is>
          <t>JAMA_Attribution_Pct</t>
        </is>
      </c>
      <c r="S1" s="1" t="inlineStr">
        <is>
          <t>JAMA_Disclosure_Pct</t>
        </is>
      </c>
      <c r="T1" s="1" t="inlineStr">
        <is>
          <t>JAMA_Currency_Pct</t>
        </is>
      </c>
    </row>
    <row r="2">
      <c r="A2" s="14" t="inlineStr">
        <is>
          <t>Website</t>
        </is>
      </c>
      <c r="B2" s="14" t="n"/>
      <c r="C2" s="14" t="n"/>
      <c r="D2" s="14" t="n"/>
      <c r="E2" s="14" t="n"/>
      <c r="F2" s="14" t="n"/>
      <c r="G2" s="14" t="n"/>
      <c r="H2" s="14" t="n"/>
      <c r="I2" s="14" t="n"/>
      <c r="J2" s="14" t="n"/>
      <c r="K2" s="14" t="n"/>
      <c r="L2" s="14" t="n"/>
      <c r="M2" s="14" t="n"/>
      <c r="N2" s="14" t="n"/>
      <c r="O2" s="14" t="n"/>
      <c r="P2" s="14" t="n"/>
      <c r="Q2" s="14" t="n"/>
      <c r="R2" s="14" t="n"/>
      <c r="S2" s="14" t="n"/>
      <c r="T2" s="14" t="n"/>
    </row>
    <row r="3">
      <c r="A3" s="15" t="inlineStr">
        <is>
          <t>YouTube</t>
        </is>
      </c>
      <c r="B3" s="15" t="n"/>
      <c r="C3" s="15" t="n"/>
      <c r="D3" s="15" t="n"/>
      <c r="E3" s="15" t="n"/>
      <c r="F3" s="15" t="n"/>
      <c r="G3" s="15" t="n"/>
      <c r="H3" s="15" t="n"/>
      <c r="I3" s="15" t="n"/>
      <c r="J3" s="15" t="n"/>
      <c r="K3" s="15" t="n"/>
      <c r="L3" s="15" t="n"/>
      <c r="M3" s="15" t="n"/>
      <c r="N3" s="15" t="n"/>
      <c r="O3" s="15" t="n"/>
      <c r="P3" s="15" t="n"/>
      <c r="Q3" s="15" t="n"/>
      <c r="R3" s="15" t="n"/>
      <c r="S3" s="15" t="n"/>
      <c r="T3" s="15" t="n"/>
    </row>
    <row r="4">
      <c r="A4" s="16" t="inlineStr">
        <is>
          <t>TikTok</t>
        </is>
      </c>
      <c r="B4" s="16" t="n"/>
      <c r="C4" s="16" t="n"/>
      <c r="D4" s="16" t="n"/>
      <c r="E4" s="16" t="n"/>
      <c r="F4" s="16" t="n"/>
      <c r="G4" s="16" t="n"/>
      <c r="H4" s="16" t="n"/>
      <c r="I4" s="16" t="n"/>
      <c r="J4" s="16" t="n"/>
      <c r="K4" s="16" t="n"/>
      <c r="L4" s="16" t="n"/>
      <c r="M4" s="16" t="n"/>
      <c r="N4" s="16" t="n"/>
      <c r="O4" s="16" t="n"/>
      <c r="P4" s="16" t="n"/>
      <c r="Q4" s="16" t="n"/>
      <c r="R4" s="16" t="n"/>
      <c r="S4" s="16" t="n"/>
      <c r="T4" s="16" t="n"/>
    </row>
    <row r="5">
      <c r="A5" s="17" t="inlineStr">
        <is>
          <t>Instagram</t>
        </is>
      </c>
      <c r="B5" s="17" t="n"/>
      <c r="C5" s="17" t="n"/>
      <c r="D5" s="17" t="n"/>
      <c r="E5" s="17" t="n"/>
      <c r="F5" s="17" t="n"/>
      <c r="G5" s="17" t="n"/>
      <c r="H5" s="17" t="n"/>
      <c r="I5" s="17" t="n"/>
      <c r="J5" s="17" t="n"/>
      <c r="K5" s="17" t="n"/>
      <c r="L5" s="17" t="n"/>
      <c r="M5" s="17" t="n"/>
      <c r="N5" s="17" t="n"/>
      <c r="O5" s="17" t="n"/>
      <c r="P5" s="17" t="n"/>
      <c r="Q5" s="17" t="n"/>
      <c r="R5" s="17" t="n"/>
      <c r="S5" s="17" t="n"/>
      <c r="T5" s="17" t="n"/>
    </row>
    <row r="6">
      <c r="A6" s="18" t="inlineStr">
        <is>
          <t>Overall</t>
        </is>
      </c>
      <c r="B6" s="18" t="n"/>
      <c r="C6" s="18" t="n"/>
      <c r="D6" s="18" t="n"/>
      <c r="E6" s="18" t="n"/>
      <c r="F6" s="18" t="n"/>
      <c r="G6" s="18" t="n"/>
      <c r="H6" s="18" t="n"/>
      <c r="I6" s="18" t="n"/>
      <c r="J6" s="18" t="n"/>
      <c r="K6" s="18" t="n"/>
      <c r="L6" s="18" t="n"/>
      <c r="M6" s="18" t="n"/>
      <c r="N6" s="18" t="n"/>
      <c r="O6" s="18" t="n"/>
      <c r="P6" s="18" t="n"/>
      <c r="Q6" s="18" t="n"/>
      <c r="R6" s="18" t="n"/>
      <c r="S6" s="18" t="n"/>
      <c r="T6" s="18" t="n"/>
    </row>
    <row r="8">
      <c r="A8" s="19" t="inlineStr">
        <is>
          <t>Note: This sheet will be populated by R statistical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4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2" customWidth="1" min="3" max="3"/>
    <col width="45" customWidth="1" min="4" max="4"/>
    <col width="30" customWidth="1" min="5" max="5"/>
    <col width="18" customWidth="1" min="6" max="6"/>
    <col width="22" customWidth="1" min="7" max="7"/>
    <col width="14" customWidth="1" min="8" max="8"/>
    <col width="12" customWidth="1" min="9" max="9"/>
    <col width="12" customWidth="1" min="10" max="10"/>
    <col width="12" customWidth="1" min="11" max="11"/>
    <col width="12" customWidth="1" min="12" max="12"/>
    <col width="28" customWidth="1" min="13" max="13"/>
    <col width="2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6" customWidth="1" min="31" max="31"/>
    <col width="16" customWidth="1" min="32" max="32"/>
    <col width="14" customWidth="1" min="33" max="33"/>
    <col width="18" customWidth="1" min="34" max="34"/>
    <col width="16" customWidth="1" min="35" max="35"/>
    <col width="16" customWidth="1" min="36" max="36"/>
    <col width="16" customWidth="1" min="37" max="37"/>
    <col width="15" customWidth="1" min="38" max="38"/>
    <col width="12" customWidth="1" min="39" max="39"/>
    <col width="35" customWidth="1" min="40" max="40"/>
  </cols>
  <sheetData>
    <row r="1" ht="35" customHeight="1">
      <c r="A1" s="1" t="inlineStr">
        <is>
          <t>Item_ID</t>
        </is>
      </c>
      <c r="B1" s="1" t="inlineStr">
        <is>
          <t>Platform</t>
        </is>
      </c>
      <c r="C1" s="1" t="inlineStr">
        <is>
          <t>Search_Term</t>
        </is>
      </c>
      <c r="D1" s="1" t="inlineStr">
        <is>
          <t>URL</t>
        </is>
      </c>
      <c r="E1" s="1" t="inlineStr">
        <is>
          <t>Title_Caption</t>
        </is>
      </c>
      <c r="F1" s="1" t="inlineStr">
        <is>
          <t>Creator_Name</t>
        </is>
      </c>
      <c r="G1" s="1" t="inlineStr">
        <is>
          <t>Creator_Credentials</t>
        </is>
      </c>
      <c r="H1" s="1" t="inlineStr">
        <is>
          <t>Date_Posted</t>
        </is>
      </c>
      <c r="I1" s="1" t="inlineStr">
        <is>
          <t>Views</t>
        </is>
      </c>
      <c r="J1" s="1" t="inlineStr">
        <is>
          <t>Likes</t>
        </is>
      </c>
      <c r="K1" s="1" t="inlineStr">
        <is>
          <t>Shares</t>
        </is>
      </c>
      <c r="L1" s="1" t="inlineStr">
        <is>
          <t>Comments</t>
        </is>
      </c>
      <c r="M1" s="1" t="inlineStr">
        <is>
          <t>Creator_Type</t>
        </is>
      </c>
      <c r="N1" s="1" t="inlineStr">
        <is>
          <t>Content_Format</t>
        </is>
      </c>
      <c r="O1" s="1" t="inlineStr">
        <is>
          <t>DISCERN_Q1</t>
        </is>
      </c>
      <c r="P1" s="1" t="inlineStr">
        <is>
          <t>DISCERN_Q2</t>
        </is>
      </c>
      <c r="Q1" s="1" t="inlineStr">
        <is>
          <t>DISCERN_Q3</t>
        </is>
      </c>
      <c r="R1" s="1" t="inlineStr">
        <is>
          <t>DISCERN_Q4</t>
        </is>
      </c>
      <c r="S1" s="1" t="inlineStr">
        <is>
          <t>DISCERN_Q5</t>
        </is>
      </c>
      <c r="T1" s="1" t="inlineStr">
        <is>
          <t>DISCERN_Q6</t>
        </is>
      </c>
      <c r="U1" s="1" t="inlineStr">
        <is>
          <t>DISCERN_Q7</t>
        </is>
      </c>
      <c r="V1" s="1" t="inlineStr">
        <is>
          <t>DISCERN_Q8</t>
        </is>
      </c>
      <c r="W1" s="1" t="inlineStr">
        <is>
          <t>DISCERN_Q9</t>
        </is>
      </c>
      <c r="X1" s="1" t="inlineStr">
        <is>
          <t>DISCERN_Q10</t>
        </is>
      </c>
      <c r="Y1" s="1" t="inlineStr">
        <is>
          <t>DISCERN_Q11</t>
        </is>
      </c>
      <c r="Z1" s="1" t="inlineStr">
        <is>
          <t>DISCERN_Q12</t>
        </is>
      </c>
      <c r="AA1" s="1" t="inlineStr">
        <is>
          <t>DISCERN_Q13</t>
        </is>
      </c>
      <c r="AB1" s="1" t="inlineStr">
        <is>
          <t>DISCERN_Q14</t>
        </is>
      </c>
      <c r="AC1" s="1" t="inlineStr">
        <is>
          <t>DISCERN_Q15</t>
        </is>
      </c>
      <c r="AD1" s="1" t="inlineStr">
        <is>
          <t>DISCERN_Q16</t>
        </is>
      </c>
      <c r="AE1" s="1" t="inlineStr">
        <is>
          <t>DISCERN_Section1</t>
        </is>
      </c>
      <c r="AF1" s="1" t="inlineStr">
        <is>
          <t>DISCERN_Section2</t>
        </is>
      </c>
      <c r="AG1" s="1" t="inlineStr">
        <is>
          <t>DISCERN_Total</t>
        </is>
      </c>
      <c r="AH1" s="1" t="inlineStr">
        <is>
          <t>DISCERN_Category</t>
        </is>
      </c>
      <c r="AI1" s="1" t="inlineStr">
        <is>
          <t>JAMA_Authorship</t>
        </is>
      </c>
      <c r="AJ1" s="1" t="inlineStr">
        <is>
          <t>JAMA_Attribution</t>
        </is>
      </c>
      <c r="AK1" s="1" t="inlineStr">
        <is>
          <t>JAMA_Disclosure</t>
        </is>
      </c>
      <c r="AL1" s="1" t="inlineStr">
        <is>
          <t>JAMA_Currency</t>
        </is>
      </c>
      <c r="AM1" s="1" t="inlineStr">
        <is>
          <t>JAMA_Total</t>
        </is>
      </c>
      <c r="AN1" s="1" t="inlineStr">
        <is>
          <t>Notes</t>
        </is>
      </c>
    </row>
    <row r="2">
      <c r="A2" s="2" t="inlineStr">
        <is>
          <t>WEB-02</t>
        </is>
      </c>
      <c r="B2" s="2" t="inlineStr">
        <is>
          <t>Website</t>
        </is>
      </c>
      <c r="C2" s="2" t="inlineStr">
        <is>
          <t>how to start exercising</t>
        </is>
      </c>
      <c r="D2" s="2" t="inlineStr">
        <is>
          <t>https://www.reddit.com/r/selfimprovement/comments/x7jgkr/how_the_hell_does_one_start_exercising/</t>
        </is>
      </c>
      <c r="E2" s="2" t="inlineStr">
        <is>
          <t>How the hell does one start “exercising”? : r/selfimprovement</t>
        </is>
      </c>
      <c r="F2" s="2" t="inlineStr">
        <is>
          <t>Reddit › r/selfimprovement</t>
        </is>
      </c>
      <c r="G2" s="2" t="n"/>
      <c r="H2" s="3" t="n"/>
      <c r="I2" s="4" t="n"/>
      <c r="J2" s="4" t="n"/>
      <c r="K2" s="4" t="n"/>
      <c r="L2" s="4" t="n"/>
      <c r="M2" s="2" t="n"/>
      <c r="N2" s="2" t="n"/>
      <c r="O2" s="2" t="n"/>
      <c r="P2" s="2" t="n"/>
      <c r="Q2" s="2" t="n"/>
      <c r="R2" s="2" t="n"/>
      <c r="S2" s="2" t="n"/>
      <c r="T2" s="2" t="n"/>
      <c r="U2" s="2" t="n"/>
      <c r="V2" s="2" t="n"/>
      <c r="W2" s="2" t="n"/>
      <c r="X2" s="2" t="n"/>
      <c r="Y2" s="2" t="n"/>
      <c r="Z2" s="2" t="n"/>
      <c r="AA2" s="2" t="n"/>
      <c r="AB2" s="2" t="n"/>
      <c r="AC2" s="2" t="n"/>
      <c r="AD2" s="2" t="n"/>
      <c r="AE2" s="4">
        <f>SUM(O2:V2)</f>
        <v/>
      </c>
      <c r="AF2" s="4">
        <f>SUM(W2:AC2)</f>
        <v/>
      </c>
      <c r="AG2" s="4">
        <f>SUM(O2:AD2)</f>
        <v/>
      </c>
      <c r="AH2" s="2">
        <f>IF(AG2="","",IF(AG2&lt;=26,"Very Poor",IF(AG2&lt;=38,"Poor",IF(AG2&lt;=50,"Fair",IF(AG2&lt;=62,"Good","Excellent")))))</f>
        <v/>
      </c>
      <c r="AI2" s="2" t="n"/>
      <c r="AJ2" s="2" t="n"/>
      <c r="AK2" s="2" t="n"/>
      <c r="AL2" s="2" t="n"/>
      <c r="AM2" s="4">
        <f>COUNTIF(AI2:AL2,"Y")</f>
        <v/>
      </c>
      <c r="AN2" s="2" t="n"/>
    </row>
    <row r="3">
      <c r="A3" s="2" t="inlineStr">
        <is>
          <t>WEB-06</t>
        </is>
      </c>
      <c r="B3" s="2" t="inlineStr">
        <is>
          <t>Website</t>
        </is>
      </c>
      <c r="C3" s="2" t="inlineStr">
        <is>
          <t>how to start exercising</t>
        </is>
      </c>
      <c r="D3" s="2" t="inlineStr">
        <is>
          <t>https://www.youtube.com/watch?v=Yq3EMpaRPcE</t>
        </is>
      </c>
      <c r="E3" s="2" t="inlineStr">
        <is>
          <t>The BEST WAY TO START WORKING OUT FOR BEGINNERS</t>
        </is>
      </c>
      <c r="F3" s="2" t="inlineStr">
        <is>
          <t>YouTube › CHRIS HERIA</t>
        </is>
      </c>
      <c r="G3" s="2" t="n"/>
      <c r="H3" s="3" t="n"/>
      <c r="I3" s="4" t="n"/>
      <c r="J3" s="4" t="n"/>
      <c r="K3" s="4" t="n"/>
      <c r="L3" s="4" t="n"/>
      <c r="M3" s="2" t="n"/>
      <c r="N3" s="2" t="n"/>
      <c r="O3" s="2" t="n"/>
      <c r="P3" s="2" t="n"/>
      <c r="Q3" s="2" t="n"/>
      <c r="R3" s="2" t="n"/>
      <c r="S3" s="2" t="n"/>
      <c r="T3" s="2" t="n"/>
      <c r="U3" s="2" t="n"/>
      <c r="V3" s="2" t="n"/>
      <c r="W3" s="2" t="n"/>
      <c r="X3" s="2" t="n"/>
      <c r="Y3" s="2" t="n"/>
      <c r="Z3" s="2" t="n"/>
      <c r="AA3" s="2" t="n"/>
      <c r="AB3" s="2" t="n"/>
      <c r="AC3" s="2" t="n"/>
      <c r="AD3" s="2" t="n"/>
      <c r="AE3" s="4">
        <f>SUM(O3:V3)</f>
        <v/>
      </c>
      <c r="AF3" s="4">
        <f>SUM(W3:AC3)</f>
        <v/>
      </c>
      <c r="AG3" s="4">
        <f>SUM(O3:AD3)</f>
        <v/>
      </c>
      <c r="AH3" s="2">
        <f>IF(AG3="","",IF(AG3&lt;=26,"Very Poor",IF(AG3&lt;=38,"Poor",IF(AG3&lt;=50,"Fair",IF(AG3&lt;=62,"Good","Excellent")))))</f>
        <v/>
      </c>
      <c r="AI3" s="2" t="n"/>
      <c r="AJ3" s="2" t="n"/>
      <c r="AK3" s="2" t="n"/>
      <c r="AL3" s="2" t="n"/>
      <c r="AM3" s="4">
        <f>COUNTIF(AI3:AL3,"Y")</f>
        <v/>
      </c>
      <c r="AN3" s="2" t="n"/>
    </row>
    <row r="4">
      <c r="A4" s="2" t="inlineStr">
        <is>
          <t>WEB-07</t>
        </is>
      </c>
      <c r="B4" s="2" t="inlineStr">
        <is>
          <t>Website</t>
        </is>
      </c>
      <c r="C4" s="2" t="inlineStr">
        <is>
          <t>how to start exercising</t>
        </is>
      </c>
      <c r="D4" s="2" t="inlineStr">
        <is>
          <t>https://www.health.harvard.edu/staying-healthy/how-to-start-exercising-if-youre-out-of-shape-</t>
        </is>
      </c>
      <c r="E4" s="2" t="inlineStr">
        <is>
          <t>How to start exercising if you're out of shape</t>
        </is>
      </c>
      <c r="F4" s="2" t="inlineStr">
        <is>
          <t>https://www.health.harvard.edu › staying-healthy › how...</t>
        </is>
      </c>
      <c r="G4" s="2" t="n"/>
      <c r="H4" s="3" t="n"/>
      <c r="I4" s="4" t="n"/>
      <c r="J4" s="4" t="n"/>
      <c r="K4" s="4" t="n"/>
      <c r="L4" s="4" t="n"/>
      <c r="M4" s="2" t="n"/>
      <c r="N4" s="2" t="n"/>
      <c r="O4" s="2" t="n"/>
      <c r="P4" s="2" t="n"/>
      <c r="Q4" s="2" t="n"/>
      <c r="R4" s="2" t="n"/>
      <c r="S4" s="2" t="n"/>
      <c r="T4" s="2" t="n"/>
      <c r="U4" s="2" t="n"/>
      <c r="V4" s="2" t="n"/>
      <c r="W4" s="2" t="n"/>
      <c r="X4" s="2" t="n"/>
      <c r="Y4" s="2" t="n"/>
      <c r="Z4" s="2" t="n"/>
      <c r="AA4" s="2" t="n"/>
      <c r="AB4" s="2" t="n"/>
      <c r="AC4" s="2" t="n"/>
      <c r="AD4" s="2" t="n"/>
      <c r="AE4" s="4">
        <f>SUM(O4:V4)</f>
        <v/>
      </c>
      <c r="AF4" s="4">
        <f>SUM(W4:AC4)</f>
        <v/>
      </c>
      <c r="AG4" s="4">
        <f>SUM(O4:AD4)</f>
        <v/>
      </c>
      <c r="AH4" s="2">
        <f>IF(AG4="","",IF(AG4&lt;=26,"Very Poor",IF(AG4&lt;=38,"Poor",IF(AG4&lt;=50,"Fair",IF(AG4&lt;=62,"Good","Excellent")))))</f>
        <v/>
      </c>
      <c r="AI4" s="2" t="n"/>
      <c r="AJ4" s="2" t="n"/>
      <c r="AK4" s="2" t="n"/>
      <c r="AL4" s="2" t="n"/>
      <c r="AM4" s="4">
        <f>COUNTIF(AI4:AL4,"Y")</f>
        <v/>
      </c>
      <c r="AN4" s="2" t="n"/>
    </row>
    <row r="5">
      <c r="A5" s="2" t="inlineStr">
        <is>
          <t>WEB-08</t>
        </is>
      </c>
      <c r="B5" s="2" t="inlineStr">
        <is>
          <t>Website</t>
        </is>
      </c>
      <c r="C5" s="2" t="inlineStr">
        <is>
          <t>how to start exercising</t>
        </is>
      </c>
      <c r="D5" s="2" t="inlineStr">
        <is>
          <t>https://www.heart.org/en/healthy-living/fitness/getting-active/getting-started---tips-for-long-term-exercise-success</t>
        </is>
      </c>
      <c r="E5" s="2" t="inlineStr">
        <is>
          <t>Getting Started: Tips for Long-term Exercise Success</t>
        </is>
      </c>
      <c r="F5" s="2" t="inlineStr">
        <is>
          <t>https://www.heart.org › fitness › getting-active › getting-...</t>
        </is>
      </c>
      <c r="G5" s="2" t="n"/>
      <c r="H5" s="3" t="n"/>
      <c r="I5" s="4" t="n"/>
      <c r="J5" s="4" t="n"/>
      <c r="K5" s="4" t="n"/>
      <c r="L5" s="4" t="n"/>
      <c r="M5" s="2" t="n"/>
      <c r="N5" s="2" t="n"/>
      <c r="O5" s="2" t="n"/>
      <c r="P5" s="2" t="n"/>
      <c r="Q5" s="2" t="n"/>
      <c r="R5" s="2" t="n"/>
      <c r="S5" s="2" t="n"/>
      <c r="T5" s="2" t="n"/>
      <c r="U5" s="2" t="n"/>
      <c r="V5" s="2" t="n"/>
      <c r="W5" s="2" t="n"/>
      <c r="X5" s="2" t="n"/>
      <c r="Y5" s="2" t="n"/>
      <c r="Z5" s="2" t="n"/>
      <c r="AA5" s="2" t="n"/>
      <c r="AB5" s="2" t="n"/>
      <c r="AC5" s="2" t="n"/>
      <c r="AD5" s="2" t="n"/>
      <c r="AE5" s="4">
        <f>SUM(O5:V5)</f>
        <v/>
      </c>
      <c r="AF5" s="4">
        <f>SUM(W5:AC5)</f>
        <v/>
      </c>
      <c r="AG5" s="4">
        <f>SUM(O5:AD5)</f>
        <v/>
      </c>
      <c r="AH5" s="2">
        <f>IF(AG5="","",IF(AG5&lt;=26,"Very Poor",IF(AG5&lt;=38,"Poor",IF(AG5&lt;=50,"Fair",IF(AG5&lt;=62,"Good","Excellent")))))</f>
        <v/>
      </c>
      <c r="AI5" s="2" t="n"/>
      <c r="AJ5" s="2" t="n"/>
      <c r="AK5" s="2" t="n"/>
      <c r="AL5" s="2" t="n"/>
      <c r="AM5" s="4">
        <f>COUNTIF(AI5:AL5,"Y")</f>
        <v/>
      </c>
      <c r="AN5" s="2" t="n"/>
    </row>
    <row r="6">
      <c r="A6" s="2" t="inlineStr">
        <is>
          <t>WEB-09</t>
        </is>
      </c>
      <c r="B6" s="2" t="inlineStr">
        <is>
          <t>Website</t>
        </is>
      </c>
      <c r="C6" s="2" t="inlineStr">
        <is>
          <t>how to start exercising</t>
        </is>
      </c>
      <c r="D6" s="2" t="inlineStr">
        <is>
          <t>https://www.nhs.uk/live-well/exercise/</t>
        </is>
      </c>
      <c r="E6" s="2" t="inlineStr">
        <is>
          <t>Exercise</t>
        </is>
      </c>
      <c r="F6" s="2" t="inlineStr">
        <is>
          <t>https://www.nhs.uk › live-well › exercise</t>
        </is>
      </c>
      <c r="G6" s="2" t="n"/>
      <c r="H6" s="3" t="n"/>
      <c r="I6" s="4" t="n"/>
      <c r="J6" s="4" t="n"/>
      <c r="K6" s="4" t="n"/>
      <c r="L6" s="4" t="n"/>
      <c r="M6" s="2" t="n"/>
      <c r="N6" s="2" t="n"/>
      <c r="O6" s="2" t="n"/>
      <c r="P6" s="2" t="n"/>
      <c r="Q6" s="2" t="n"/>
      <c r="R6" s="2" t="n"/>
      <c r="S6" s="2" t="n"/>
      <c r="T6" s="2" t="n"/>
      <c r="U6" s="2" t="n"/>
      <c r="V6" s="2" t="n"/>
      <c r="W6" s="2" t="n"/>
      <c r="X6" s="2" t="n"/>
      <c r="Y6" s="2" t="n"/>
      <c r="Z6" s="2" t="n"/>
      <c r="AA6" s="2" t="n"/>
      <c r="AB6" s="2" t="n"/>
      <c r="AC6" s="2" t="n"/>
      <c r="AD6" s="2" t="n"/>
      <c r="AE6" s="4">
        <f>SUM(O6:V6)</f>
        <v/>
      </c>
      <c r="AF6" s="4">
        <f>SUM(W6:AC6)</f>
        <v/>
      </c>
      <c r="AG6" s="4">
        <f>SUM(O6:AD6)</f>
        <v/>
      </c>
      <c r="AH6" s="2">
        <f>IF(AG6="","",IF(AG6&lt;=26,"Very Poor",IF(AG6&lt;=38,"Poor",IF(AG6&lt;=50,"Fair",IF(AG6&lt;=62,"Good","Excellent")))))</f>
        <v/>
      </c>
      <c r="AI6" s="2" t="n"/>
      <c r="AJ6" s="2" t="n"/>
      <c r="AK6" s="2" t="n"/>
      <c r="AL6" s="2" t="n"/>
      <c r="AM6" s="4">
        <f>COUNTIF(AI6:AL6,"Y")</f>
        <v/>
      </c>
      <c r="AN6" s="2" t="n"/>
    </row>
    <row r="7">
      <c r="A7" s="2" t="inlineStr">
        <is>
          <t>WEB-15</t>
        </is>
      </c>
      <c r="B7" s="2" t="inlineStr">
        <is>
          <t>Website</t>
        </is>
      </c>
      <c r="C7" s="2" t="inlineStr">
        <is>
          <t>best exercises to lose weight</t>
        </is>
      </c>
      <c r="D7" s="2" t="inlineStr">
        <is>
          <t>https://www.muscleandstrength.com/workouts/beginner-fat-loss-workout</t>
        </is>
      </c>
      <c r="E7" s="2" t="inlineStr">
        <is>
          <t>8 Week Fat Loss Workout for Beginners</t>
        </is>
      </c>
      <c r="F7" s="2" t="inlineStr">
        <is>
          <t>https://www.muscleandstrength.com › workouts › begin...</t>
        </is>
      </c>
      <c r="G7" s="2" t="n"/>
      <c r="H7" s="3" t="n"/>
      <c r="I7" s="4" t="n"/>
      <c r="J7" s="4" t="n"/>
      <c r="K7" s="4" t="n"/>
      <c r="L7" s="4" t="n"/>
      <c r="M7" s="2" t="n"/>
      <c r="N7" s="2" t="n"/>
      <c r="O7" s="2" t="n"/>
      <c r="P7" s="2" t="n"/>
      <c r="Q7" s="2" t="n"/>
      <c r="R7" s="2" t="n"/>
      <c r="S7" s="2" t="n"/>
      <c r="T7" s="2" t="n"/>
      <c r="U7" s="2" t="n"/>
      <c r="V7" s="2" t="n"/>
      <c r="W7" s="2" t="n"/>
      <c r="X7" s="2" t="n"/>
      <c r="Y7" s="2" t="n"/>
      <c r="Z7" s="2" t="n"/>
      <c r="AA7" s="2" t="n"/>
      <c r="AB7" s="2" t="n"/>
      <c r="AC7" s="2" t="n"/>
      <c r="AD7" s="2" t="n"/>
      <c r="AE7" s="4">
        <f>SUM(O7:V7)</f>
        <v/>
      </c>
      <c r="AF7" s="4">
        <f>SUM(W7:AC7)</f>
        <v/>
      </c>
      <c r="AG7" s="4">
        <f>SUM(O7:AD7)</f>
        <v/>
      </c>
      <c r="AH7" s="2">
        <f>IF(AG7="","",IF(AG7&lt;=26,"Very Poor",IF(AG7&lt;=38,"Poor",IF(AG7&lt;=50,"Fair",IF(AG7&lt;=62,"Good","Excellent")))))</f>
        <v/>
      </c>
      <c r="AI7" s="2" t="n"/>
      <c r="AJ7" s="2" t="n"/>
      <c r="AK7" s="2" t="n"/>
      <c r="AL7" s="2" t="n"/>
      <c r="AM7" s="4">
        <f>COUNTIF(AI7:AL7,"Y")</f>
        <v/>
      </c>
      <c r="AN7" s="2" t="n"/>
    </row>
    <row r="8">
      <c r="A8" s="2" t="inlineStr">
        <is>
          <t>WEB-16</t>
        </is>
      </c>
      <c r="B8" s="2" t="inlineStr">
        <is>
          <t>Website</t>
        </is>
      </c>
      <c r="C8" s="2" t="inlineStr">
        <is>
          <t>best exercises to lose weight</t>
        </is>
      </c>
      <c r="D8" s="2" t="inlineStr">
        <is>
          <t>https://www.youtube.com/watch?v=Fz89dJTZsko</t>
        </is>
      </c>
      <c r="E8" s="2" t="inlineStr">
        <is>
          <t>Everything That Burns More Fat Than Jogging</t>
        </is>
      </c>
      <c r="F8" s="2" t="inlineStr">
        <is>
          <t>YouTube › Jeremy Ethier</t>
        </is>
      </c>
      <c r="G8" s="2" t="n"/>
      <c r="H8" s="3" t="n"/>
      <c r="I8" s="4" t="n"/>
      <c r="J8" s="4" t="n"/>
      <c r="K8" s="4" t="n"/>
      <c r="L8" s="4" t="n"/>
      <c r="M8" s="2" t="n"/>
      <c r="N8" s="2" t="n"/>
      <c r="O8" s="2" t="n"/>
      <c r="P8" s="2" t="n"/>
      <c r="Q8" s="2" t="n"/>
      <c r="R8" s="2" t="n"/>
      <c r="S8" s="2" t="n"/>
      <c r="T8" s="2" t="n"/>
      <c r="U8" s="2" t="n"/>
      <c r="V8" s="2" t="n"/>
      <c r="W8" s="2" t="n"/>
      <c r="X8" s="2" t="n"/>
      <c r="Y8" s="2" t="n"/>
      <c r="Z8" s="2" t="n"/>
      <c r="AA8" s="2" t="n"/>
      <c r="AB8" s="2" t="n"/>
      <c r="AC8" s="2" t="n"/>
      <c r="AD8" s="2" t="n"/>
      <c r="AE8" s="4">
        <f>SUM(O8:V8)</f>
        <v/>
      </c>
      <c r="AF8" s="4">
        <f>SUM(W8:AC8)</f>
        <v/>
      </c>
      <c r="AG8" s="4">
        <f>SUM(O8:AD8)</f>
        <v/>
      </c>
      <c r="AH8" s="2">
        <f>IF(AG8="","",IF(AG8&lt;=26,"Very Poor",IF(AG8&lt;=38,"Poor",IF(AG8&lt;=50,"Fair",IF(AG8&lt;=62,"Good","Excellent")))))</f>
        <v/>
      </c>
      <c r="AI8" s="2" t="n"/>
      <c r="AJ8" s="2" t="n"/>
      <c r="AK8" s="2" t="n"/>
      <c r="AL8" s="2" t="n"/>
      <c r="AM8" s="4">
        <f>COUNTIF(AI8:AL8,"Y")</f>
        <v/>
      </c>
      <c r="AN8" s="2" t="n"/>
    </row>
    <row r="9">
      <c r="A9" s="2" t="inlineStr">
        <is>
          <t>WEB-18</t>
        </is>
      </c>
      <c r="B9" s="2" t="inlineStr">
        <is>
          <t>Website</t>
        </is>
      </c>
      <c r="C9" s="2" t="inlineStr">
        <is>
          <t>best exercises to lose weight</t>
        </is>
      </c>
      <c r="D9" s="2" t="inlineStr">
        <is>
          <t>https://www.womenshealthmag.com/fitness/a70098294/best-calorie-burning-exercises-ranked/</t>
        </is>
      </c>
      <c r="E9" s="2" t="inlineStr">
        <is>
          <t>"Best Calorie Burning Exercises</t>
        </is>
      </c>
      <c r="F9" s="2" t="inlineStr">
        <is>
          <t>Ranked By Fitness Experts"</t>
        </is>
      </c>
      <c r="G9" s="2" t="n"/>
      <c r="H9" s="3" t="n"/>
      <c r="I9" s="4" t="n"/>
      <c r="J9" s="4" t="n"/>
      <c r="K9" s="4" t="n"/>
      <c r="L9" s="4" t="n"/>
      <c r="M9" s="2" t="n"/>
      <c r="N9" s="2" t="n"/>
      <c r="O9" s="2" t="n"/>
      <c r="P9" s="2" t="n"/>
      <c r="Q9" s="2" t="n"/>
      <c r="R9" s="2" t="n"/>
      <c r="S9" s="2" t="n"/>
      <c r="T9" s="2" t="n"/>
      <c r="U9" s="2" t="n"/>
      <c r="V9" s="2" t="n"/>
      <c r="W9" s="2" t="n"/>
      <c r="X9" s="2" t="n"/>
      <c r="Y9" s="2" t="n"/>
      <c r="Z9" s="2" t="n"/>
      <c r="AA9" s="2" t="n"/>
      <c r="AB9" s="2" t="n"/>
      <c r="AC9" s="2" t="n"/>
      <c r="AD9" s="2" t="n"/>
      <c r="AE9" s="4">
        <f>SUM(O9:V9)</f>
        <v/>
      </c>
      <c r="AF9" s="4">
        <f>SUM(W9:AC9)</f>
        <v/>
      </c>
      <c r="AG9" s="4">
        <f>SUM(O9:AD9)</f>
        <v/>
      </c>
      <c r="AH9" s="2">
        <f>IF(AG9="","",IF(AG9&lt;=26,"Very Poor",IF(AG9&lt;=38,"Poor",IF(AG9&lt;=50,"Fair",IF(AG9&lt;=62,"Good","Excellent")))))</f>
        <v/>
      </c>
      <c r="AI9" s="2" t="n"/>
      <c r="AJ9" s="2" t="n"/>
      <c r="AK9" s="2" t="n"/>
      <c r="AL9" s="2" t="n"/>
      <c r="AM9" s="4">
        <f>COUNTIF(AI9:AL9,"Y")</f>
        <v/>
      </c>
      <c r="AN9" s="2" t="n"/>
    </row>
    <row r="10">
      <c r="A10" s="2" t="inlineStr">
        <is>
          <t>WEB-35</t>
        </is>
      </c>
      <c r="B10" s="2" t="inlineStr">
        <is>
          <t>Website</t>
        </is>
      </c>
      <c r="C10" s="2" t="inlineStr">
        <is>
          <t>physical activity guidelines</t>
        </is>
      </c>
      <c r="D10" s="2" t="inlineStr">
        <is>
          <t>https://acsm.org/education-resources/trending-topics-resources/physical-activity-guidelines/</t>
        </is>
      </c>
      <c r="E10" s="2" t="inlineStr">
        <is>
          <t>Physical Activity Guidelines</t>
        </is>
      </c>
      <c r="F10" s="2" t="inlineStr">
        <is>
          <t>https://acsm.org › ... › Trending Topics &amp; Resources</t>
        </is>
      </c>
      <c r="G10" s="2" t="n"/>
      <c r="H10" s="3" t="n"/>
      <c r="I10" s="4" t="n"/>
      <c r="J10" s="4" t="n"/>
      <c r="K10" s="4" t="n"/>
      <c r="L10" s="4" t="n"/>
      <c r="M10" s="2" t="n"/>
      <c r="N10" s="2" t="n"/>
      <c r="O10" s="2" t="n"/>
      <c r="P10" s="2" t="n"/>
      <c r="Q10" s="2" t="n"/>
      <c r="R10" s="2" t="n"/>
      <c r="S10" s="2" t="n"/>
      <c r="T10" s="2" t="n"/>
      <c r="U10" s="2" t="n"/>
      <c r="V10" s="2" t="n"/>
      <c r="W10" s="2" t="n"/>
      <c r="X10" s="2" t="n"/>
      <c r="Y10" s="2" t="n"/>
      <c r="Z10" s="2" t="n"/>
      <c r="AA10" s="2" t="n"/>
      <c r="AB10" s="2" t="n"/>
      <c r="AC10" s="2" t="n"/>
      <c r="AD10" s="2" t="n"/>
      <c r="AE10" s="4">
        <f>SUM(O10:V10)</f>
        <v/>
      </c>
      <c r="AF10" s="4">
        <f>SUM(W10:AC10)</f>
        <v/>
      </c>
      <c r="AG10" s="4">
        <f>SUM(O10:AD10)</f>
        <v/>
      </c>
      <c r="AH10" s="2">
        <f>IF(AG10="","",IF(AG10&lt;=26,"Very Poor",IF(AG10&lt;=38,"Poor",IF(AG10&lt;=50,"Fair",IF(AG10&lt;=62,"Good","Excellent")))))</f>
        <v/>
      </c>
      <c r="AI10" s="2" t="n"/>
      <c r="AJ10" s="2" t="n"/>
      <c r="AK10" s="2" t="n"/>
      <c r="AL10" s="2" t="n"/>
      <c r="AM10" s="4">
        <f>COUNTIF(AI10:AL10,"Y")</f>
        <v/>
      </c>
      <c r="AN10" s="2" t="n"/>
    </row>
    <row r="11">
      <c r="A11" s="2" t="inlineStr">
        <is>
          <t>WEB-41</t>
        </is>
      </c>
      <c r="B11" s="2" t="inlineStr">
        <is>
          <t>Website</t>
        </is>
      </c>
      <c r="C11" s="2" t="inlineStr">
        <is>
          <t>home workout routine</t>
        </is>
      </c>
      <c r="D11" s="2" t="inlineStr">
        <is>
          <t>https://www.healthline.com/health/fitness-exercise/at-home-workouts</t>
        </is>
      </c>
      <c r="E11" s="2" t="inlineStr">
        <is>
          <t>30 Moves to Make the Most of Your At-Home Workout</t>
        </is>
      </c>
      <c r="F11" s="2" t="inlineStr">
        <is>
          <t>https://www.healthline.com › health › fitness-exercise</t>
        </is>
      </c>
      <c r="G11" s="2" t="n"/>
      <c r="H11" s="3" t="n"/>
      <c r="I11" s="4" t="n"/>
      <c r="J11" s="4" t="n"/>
      <c r="K11" s="4" t="n"/>
      <c r="L11" s="4" t="n"/>
      <c r="M11" s="2" t="n"/>
      <c r="N11" s="2" t="n"/>
      <c r="O11" s="2" t="n"/>
      <c r="P11" s="2" t="n"/>
      <c r="Q11" s="2" t="n"/>
      <c r="R11" s="2" t="n"/>
      <c r="S11" s="2" t="n"/>
      <c r="T11" s="2" t="n"/>
      <c r="U11" s="2" t="n"/>
      <c r="V11" s="2" t="n"/>
      <c r="W11" s="2" t="n"/>
      <c r="X11" s="2" t="n"/>
      <c r="Y11" s="2" t="n"/>
      <c r="Z11" s="2" t="n"/>
      <c r="AA11" s="2" t="n"/>
      <c r="AB11" s="2" t="n"/>
      <c r="AC11" s="2" t="n"/>
      <c r="AD11" s="2" t="n"/>
      <c r="AE11" s="4">
        <f>SUM(O11:V11)</f>
        <v/>
      </c>
      <c r="AF11" s="4">
        <f>SUM(W11:AC11)</f>
        <v/>
      </c>
      <c r="AG11" s="4">
        <f>SUM(O11:AD11)</f>
        <v/>
      </c>
      <c r="AH11" s="2">
        <f>IF(AG11="","",IF(AG11&lt;=26,"Very Poor",IF(AG11&lt;=38,"Poor",IF(AG11&lt;=50,"Fair",IF(AG11&lt;=62,"Good","Excellent")))))</f>
        <v/>
      </c>
      <c r="AI11" s="2" t="n"/>
      <c r="AJ11" s="2" t="n"/>
      <c r="AK11" s="2" t="n"/>
      <c r="AL11" s="2" t="n"/>
      <c r="AM11" s="4">
        <f>COUNTIF(AI11:AL11,"Y")</f>
        <v/>
      </c>
      <c r="AN11" s="2" t="n"/>
    </row>
    <row r="12">
      <c r="A12" s="5" t="inlineStr">
        <is>
          <t>YT-02</t>
        </is>
      </c>
      <c r="B12" s="5" t="inlineStr">
        <is>
          <t>YouTube</t>
        </is>
      </c>
      <c r="C12" s="5" t="inlineStr">
        <is>
          <t>how to start exercising</t>
        </is>
      </c>
      <c r="D12" s="5" t="inlineStr">
        <is>
          <t>https://www.youtube.com/watch?v=0QXaAQMwfBI</t>
        </is>
      </c>
      <c r="E12" s="5" t="inlineStr">
        <is>
          <t>Beginner's Gym Survival Guide</t>
        </is>
      </c>
      <c r="F12" s="5" t="inlineStr">
        <is>
          <t>Will Tennyson</t>
        </is>
      </c>
      <c r="G12" s="5" t="n"/>
      <c r="H12" s="6" t="inlineStr">
        <is>
          <t>2022-01-09</t>
        </is>
      </c>
      <c r="I12" s="7" t="n">
        <v>1889994</v>
      </c>
      <c r="J12" s="7" t="n">
        <v>100000</v>
      </c>
      <c r="K12" s="7" t="n"/>
      <c r="L12" s="7" t="n">
        <v>2620</v>
      </c>
      <c r="M12" s="5" t="n"/>
      <c r="N12" s="5" t="inlineStr">
        <is>
          <t>Long video (&gt;5min)</t>
        </is>
      </c>
      <c r="O12" s="5" t="n"/>
      <c r="P12" s="5" t="n"/>
      <c r="Q12" s="5" t="n"/>
      <c r="R12" s="5" t="n"/>
      <c r="S12" s="5" t="n"/>
      <c r="T12" s="5" t="n"/>
      <c r="U12" s="5" t="n"/>
      <c r="V12" s="5" t="n"/>
      <c r="W12" s="5" t="n"/>
      <c r="X12" s="5" t="n"/>
      <c r="Y12" s="5" t="n"/>
      <c r="Z12" s="5" t="n"/>
      <c r="AA12" s="5" t="n"/>
      <c r="AB12" s="5" t="n"/>
      <c r="AC12" s="5" t="n"/>
      <c r="AD12" s="5" t="n"/>
      <c r="AE12" s="7">
        <f>SUM(O12:V12)</f>
        <v/>
      </c>
      <c r="AF12" s="7">
        <f>SUM(W12:AC12)</f>
        <v/>
      </c>
      <c r="AG12" s="7">
        <f>SUM(O12:AD12)</f>
        <v/>
      </c>
      <c r="AH12" s="5">
        <f>IF(AG12="","",IF(AG12&lt;=26,"Very Poor",IF(AG12&lt;=38,"Poor",IF(AG12&lt;=50,"Fair",IF(AG12&lt;=62,"Good","Excellent")))))</f>
        <v/>
      </c>
      <c r="AI12" s="5" t="n"/>
      <c r="AJ12" s="5" t="n"/>
      <c r="AK12" s="5" t="n"/>
      <c r="AL12" s="5" t="n"/>
      <c r="AM12" s="7">
        <f>COUNTIF(AI12:AL12,"Y")</f>
        <v/>
      </c>
      <c r="AN12" s="5" t="n"/>
    </row>
    <row r="13">
      <c r="A13" s="5" t="inlineStr">
        <is>
          <t>YT-03</t>
        </is>
      </c>
      <c r="B13" s="5" t="inlineStr">
        <is>
          <t>YouTube</t>
        </is>
      </c>
      <c r="C13" s="5" t="inlineStr">
        <is>
          <t>how to start exercising</t>
        </is>
      </c>
      <c r="D13" s="5" t="inlineStr">
        <is>
          <t>https://www.youtube.com/watch?v=2qWoegDcHMI</t>
        </is>
      </c>
      <c r="E13" s="5" t="inlineStr">
        <is>
          <t>5 Beginner Gym Mistakes You Need to Avoid!</t>
        </is>
      </c>
      <c r="F13" s="5" t="inlineStr">
        <is>
          <t>PictureFit</t>
        </is>
      </c>
      <c r="G13" s="5" t="n"/>
      <c r="H13" s="6" t="inlineStr">
        <is>
          <t>2018-09-01</t>
        </is>
      </c>
      <c r="I13" s="7" t="n">
        <v>4118628</v>
      </c>
      <c r="J13" s="7" t="n">
        <v>110000</v>
      </c>
      <c r="K13" s="7" t="n"/>
      <c r="L13" s="7" t="n">
        <v>2278</v>
      </c>
      <c r="M13" s="5" t="n"/>
      <c r="N13" s="5" t="inlineStr">
        <is>
          <t>Long video (&gt;5min)</t>
        </is>
      </c>
      <c r="O13" s="5" t="n"/>
      <c r="P13" s="5" t="n"/>
      <c r="Q13" s="5" t="n"/>
      <c r="R13" s="5" t="n"/>
      <c r="S13" s="5" t="n"/>
      <c r="T13" s="5" t="n"/>
      <c r="U13" s="5" t="n"/>
      <c r="V13" s="5" t="n"/>
      <c r="W13" s="5" t="n"/>
      <c r="X13" s="5" t="n"/>
      <c r="Y13" s="5" t="n"/>
      <c r="Z13" s="5" t="n"/>
      <c r="AA13" s="5" t="n"/>
      <c r="AB13" s="5" t="n"/>
      <c r="AC13" s="5" t="n"/>
      <c r="AD13" s="5" t="n"/>
      <c r="AE13" s="7">
        <f>SUM(O13:V13)</f>
        <v/>
      </c>
      <c r="AF13" s="7">
        <f>SUM(W13:AC13)</f>
        <v/>
      </c>
      <c r="AG13" s="7">
        <f>SUM(O13:AD13)</f>
        <v/>
      </c>
      <c r="AH13" s="5">
        <f>IF(AG13="","",IF(AG13&lt;=26,"Very Poor",IF(AG13&lt;=38,"Poor",IF(AG13&lt;=50,"Fair",IF(AG13&lt;=62,"Good","Excellent")))))</f>
        <v/>
      </c>
      <c r="AI13" s="5" t="n"/>
      <c r="AJ13" s="5" t="n"/>
      <c r="AK13" s="5" t="n"/>
      <c r="AL13" s="5" t="n"/>
      <c r="AM13" s="7">
        <f>COUNTIF(AI13:AL13,"Y")</f>
        <v/>
      </c>
      <c r="AN13" s="5" t="n"/>
    </row>
    <row r="14">
      <c r="A14" s="5" t="inlineStr">
        <is>
          <t>YT-06</t>
        </is>
      </c>
      <c r="B14" s="5" t="inlineStr">
        <is>
          <t>YouTube</t>
        </is>
      </c>
      <c r="C14" s="5" t="inlineStr">
        <is>
          <t>how to start exercising</t>
        </is>
      </c>
      <c r="D14" s="5" t="inlineStr">
        <is>
          <t>https://www.youtube.com/watch?v=k6Qp78Hh5DI</t>
        </is>
      </c>
      <c r="E14" s="5" t="inlineStr">
        <is>
          <t>How to start exercising when you're unfit</t>
        </is>
      </c>
      <c r="F14" s="5" t="inlineStr">
        <is>
          <t>Trimmed</t>
        </is>
      </c>
      <c r="G14" s="5" t="n"/>
      <c r="H14" s="6" t="inlineStr">
        <is>
          <t>2019-12-11</t>
        </is>
      </c>
      <c r="I14" s="7" t="n">
        <v>192896</v>
      </c>
      <c r="J14" s="7" t="n">
        <v>5800</v>
      </c>
      <c r="K14" s="7" t="n"/>
      <c r="L14" s="7" t="n">
        <v>209</v>
      </c>
      <c r="M14" s="5" t="n"/>
      <c r="N14" s="5" t="inlineStr">
        <is>
          <t>Long video (&gt;5min)</t>
        </is>
      </c>
      <c r="O14" s="5" t="n"/>
      <c r="P14" s="5" t="n"/>
      <c r="Q14" s="5" t="n"/>
      <c r="R14" s="5" t="n"/>
      <c r="S14" s="5" t="n"/>
      <c r="T14" s="5" t="n"/>
      <c r="U14" s="5" t="n"/>
      <c r="V14" s="5" t="n"/>
      <c r="W14" s="5" t="n"/>
      <c r="X14" s="5" t="n"/>
      <c r="Y14" s="5" t="n"/>
      <c r="Z14" s="5" t="n"/>
      <c r="AA14" s="5" t="n"/>
      <c r="AB14" s="5" t="n"/>
      <c r="AC14" s="5" t="n"/>
      <c r="AD14" s="5" t="n"/>
      <c r="AE14" s="7">
        <f>SUM(O14:V14)</f>
        <v/>
      </c>
      <c r="AF14" s="7">
        <f>SUM(W14:AC14)</f>
        <v/>
      </c>
      <c r="AG14" s="7">
        <f>SUM(O14:AD14)</f>
        <v/>
      </c>
      <c r="AH14" s="5">
        <f>IF(AG14="","",IF(AG14&lt;=26,"Very Poor",IF(AG14&lt;=38,"Poor",IF(AG14&lt;=50,"Fair",IF(AG14&lt;=62,"Good","Excellent")))))</f>
        <v/>
      </c>
      <c r="AI14" s="5" t="n"/>
      <c r="AJ14" s="5" t="n"/>
      <c r="AK14" s="5" t="n"/>
      <c r="AL14" s="5" t="n"/>
      <c r="AM14" s="7">
        <f>COUNTIF(AI14:AL14,"Y")</f>
        <v/>
      </c>
      <c r="AN14" s="5" t="n"/>
    </row>
    <row r="15">
      <c r="A15" s="5" t="inlineStr">
        <is>
          <t>YT-14</t>
        </is>
      </c>
      <c r="B15" s="5" t="inlineStr">
        <is>
          <t>YouTube</t>
        </is>
      </c>
      <c r="C15" s="5" t="inlineStr">
        <is>
          <t>best exercises to lose weight</t>
        </is>
      </c>
      <c r="D15" s="5" t="inlineStr">
        <is>
          <t>https://www.youtube.com/watch?v=7fICF_O5esc</t>
        </is>
      </c>
      <c r="E15" s="5" t="inlineStr">
        <is>
          <t>The PERFECT Workout to Lose Weight (Sets and Reps Included)</t>
        </is>
      </c>
      <c r="F15" s="5" t="inlineStr">
        <is>
          <t>ATHLEAN-X™</t>
        </is>
      </c>
      <c r="G15" s="5" t="n"/>
      <c r="H15" s="6" t="inlineStr">
        <is>
          <t>2020-01-26</t>
        </is>
      </c>
      <c r="I15" s="7" t="n">
        <v>3762967</v>
      </c>
      <c r="J15" s="7" t="n">
        <v>125000</v>
      </c>
      <c r="K15" s="7" t="n"/>
      <c r="L15" s="7" t="n">
        <v>3924</v>
      </c>
      <c r="M15" s="5" t="n"/>
      <c r="N15" s="5" t="inlineStr">
        <is>
          <t>Long video (&gt;5min)</t>
        </is>
      </c>
      <c r="O15" s="5" t="n"/>
      <c r="P15" s="5" t="n"/>
      <c r="Q15" s="5" t="n"/>
      <c r="R15" s="5" t="n"/>
      <c r="S15" s="5" t="n"/>
      <c r="T15" s="5" t="n"/>
      <c r="U15" s="5" t="n"/>
      <c r="V15" s="5" t="n"/>
      <c r="W15" s="5" t="n"/>
      <c r="X15" s="5" t="n"/>
      <c r="Y15" s="5" t="n"/>
      <c r="Z15" s="5" t="n"/>
      <c r="AA15" s="5" t="n"/>
      <c r="AB15" s="5" t="n"/>
      <c r="AC15" s="5" t="n"/>
      <c r="AD15" s="5" t="n"/>
      <c r="AE15" s="7">
        <f>SUM(O15:V15)</f>
        <v/>
      </c>
      <c r="AF15" s="7">
        <f>SUM(W15:AC15)</f>
        <v/>
      </c>
      <c r="AG15" s="7">
        <f>SUM(O15:AD15)</f>
        <v/>
      </c>
      <c r="AH15" s="5">
        <f>IF(AG15="","",IF(AG15&lt;=26,"Very Poor",IF(AG15&lt;=38,"Poor",IF(AG15&lt;=50,"Fair",IF(AG15&lt;=62,"Good","Excellent")))))</f>
        <v/>
      </c>
      <c r="AI15" s="5" t="n"/>
      <c r="AJ15" s="5" t="n"/>
      <c r="AK15" s="5" t="n"/>
      <c r="AL15" s="5" t="n"/>
      <c r="AM15" s="7">
        <f>COUNTIF(AI15:AL15,"Y")</f>
        <v/>
      </c>
      <c r="AN15" s="5" t="n"/>
    </row>
    <row r="16">
      <c r="A16" s="5" t="inlineStr">
        <is>
          <t>YT-15</t>
        </is>
      </c>
      <c r="B16" s="5" t="inlineStr">
        <is>
          <t>YouTube</t>
        </is>
      </c>
      <c r="C16" s="5" t="inlineStr">
        <is>
          <t>best exercises to lose weight</t>
        </is>
      </c>
      <c r="D16" s="5" t="inlineStr">
        <is>
          <t>https://www.youtube.com/watch?v=wXzveroBplo</t>
        </is>
      </c>
      <c r="E16" s="5" t="inlineStr">
        <is>
          <t>the Best Workout to Lose Weight Fast 👉 Lose 10 Pounds in 3 Days</t>
        </is>
      </c>
      <c r="F16" s="5" t="inlineStr">
        <is>
          <t>Adrian Bryant</t>
        </is>
      </c>
      <c r="G16" s="5" t="n"/>
      <c r="H16" s="6" t="inlineStr">
        <is>
          <t>2019-09-15</t>
        </is>
      </c>
      <c r="I16" s="7" t="n">
        <v>8516467</v>
      </c>
      <c r="J16" s="7" t="n">
        <v>260000</v>
      </c>
      <c r="K16" s="7" t="n"/>
      <c r="L16" s="7" t="n">
        <v>37768</v>
      </c>
      <c r="M16" s="5" t="n"/>
      <c r="N16" s="5" t="inlineStr">
        <is>
          <t>Long video (&gt;5min)</t>
        </is>
      </c>
      <c r="O16" s="5" t="n"/>
      <c r="P16" s="5" t="n"/>
      <c r="Q16" s="5" t="n"/>
      <c r="R16" s="5" t="n"/>
      <c r="S16" s="5" t="n"/>
      <c r="T16" s="5" t="n"/>
      <c r="U16" s="5" t="n"/>
      <c r="V16" s="5" t="n"/>
      <c r="W16" s="5" t="n"/>
      <c r="X16" s="5" t="n"/>
      <c r="Y16" s="5" t="n"/>
      <c r="Z16" s="5" t="n"/>
      <c r="AA16" s="5" t="n"/>
      <c r="AB16" s="5" t="n"/>
      <c r="AC16" s="5" t="n"/>
      <c r="AD16" s="5" t="n"/>
      <c r="AE16" s="7">
        <f>SUM(O16:V16)</f>
        <v/>
      </c>
      <c r="AF16" s="7">
        <f>SUM(W16:AC16)</f>
        <v/>
      </c>
      <c r="AG16" s="7">
        <f>SUM(O16:AD16)</f>
        <v/>
      </c>
      <c r="AH16" s="5">
        <f>IF(AG16="","",IF(AG16&lt;=26,"Very Poor",IF(AG16&lt;=38,"Poor",IF(AG16&lt;=50,"Fair",IF(AG16&lt;=62,"Good","Excellent")))))</f>
        <v/>
      </c>
      <c r="AI16" s="5" t="n"/>
      <c r="AJ16" s="5" t="n"/>
      <c r="AK16" s="5" t="n"/>
      <c r="AL16" s="5" t="n"/>
      <c r="AM16" s="7">
        <f>COUNTIF(AI16:AL16,"Y")</f>
        <v/>
      </c>
      <c r="AN16" s="5" t="n"/>
    </row>
    <row r="17">
      <c r="A17" s="5" t="inlineStr">
        <is>
          <t>YT-28</t>
        </is>
      </c>
      <c r="B17" s="5" t="inlineStr">
        <is>
          <t>YouTube</t>
        </is>
      </c>
      <c r="C17" s="5" t="inlineStr">
        <is>
          <t>strength training for beginners</t>
        </is>
      </c>
      <c r="D17" s="5" t="inlineStr">
        <is>
          <t>https://www.youtube.com/watch?v=OJ1Dbv6YriQ</t>
        </is>
      </c>
      <c r="E17" s="5" t="inlineStr">
        <is>
          <t>"STRENGTH TRAINING for BEGINNERS | Build strength</t>
        </is>
      </c>
      <c r="F17" s="5" t="inlineStr">
        <is>
          <t>get toned &amp; speed up metabolism!"</t>
        </is>
      </c>
      <c r="G17" s="5" t="n"/>
      <c r="H17" s="6" t="inlineStr">
        <is>
          <t>Improved Health</t>
        </is>
      </c>
      <c r="I17" s="7" t="n"/>
      <c r="J17" s="7" t="n">
        <v>281778</v>
      </c>
      <c r="K17" s="7" t="n"/>
      <c r="L17" s="7" t="n">
        <v>5300</v>
      </c>
      <c r="M17" s="5" t="n"/>
      <c r="N17" s="5" t="inlineStr">
        <is>
          <t>309</t>
        </is>
      </c>
      <c r="O17" s="5" t="n"/>
      <c r="P17" s="5" t="n"/>
      <c r="Q17" s="5" t="n"/>
      <c r="R17" s="5" t="n"/>
      <c r="S17" s="5" t="n"/>
      <c r="T17" s="5" t="n"/>
      <c r="U17" s="5" t="n"/>
      <c r="V17" s="5" t="n"/>
      <c r="W17" s="5" t="n"/>
      <c r="X17" s="5" t="n"/>
      <c r="Y17" s="5" t="n"/>
      <c r="Z17" s="5" t="n"/>
      <c r="AA17" s="5" t="n"/>
      <c r="AB17" s="5" t="n"/>
      <c r="AC17" s="5" t="n"/>
      <c r="AD17" s="5" t="n"/>
      <c r="AE17" s="7">
        <f>SUM(O17:V17)</f>
        <v/>
      </c>
      <c r="AF17" s="7">
        <f>SUM(W17:AC17)</f>
        <v/>
      </c>
      <c r="AG17" s="7">
        <f>SUM(O17:AD17)</f>
        <v/>
      </c>
      <c r="AH17" s="5">
        <f>IF(AG17="","",IF(AG17&lt;=26,"Very Poor",IF(AG17&lt;=38,"Poor",IF(AG17&lt;=50,"Fair",IF(AG17&lt;=62,"Good","Excellent")))))</f>
        <v/>
      </c>
      <c r="AI17" s="5" t="n"/>
      <c r="AJ17" s="5" t="n"/>
      <c r="AK17" s="5" t="n"/>
      <c r="AL17" s="5" t="n"/>
      <c r="AM17" s="7">
        <f>COUNTIF(AI17:AL17,"Y")</f>
        <v/>
      </c>
      <c r="AN17" s="5" t="n"/>
    </row>
    <row r="18">
      <c r="A18" s="5" t="inlineStr">
        <is>
          <t>YT-33</t>
        </is>
      </c>
      <c r="B18" s="5" t="inlineStr">
        <is>
          <t>YouTube</t>
        </is>
      </c>
      <c r="C18" s="5" t="inlineStr">
        <is>
          <t>physical activity guidelines</t>
        </is>
      </c>
      <c r="D18" s="5" t="inlineStr">
        <is>
          <t>https://www.youtube.com/watch?v=Nt3Qh_oJ3YY</t>
        </is>
      </c>
      <c r="E18" s="5" t="inlineStr">
        <is>
          <t>Guidelines for Physical Activity</t>
        </is>
      </c>
      <c r="F18" s="5" t="inlineStr">
        <is>
          <t>Arthritis UK</t>
        </is>
      </c>
      <c r="G18" s="5" t="n"/>
      <c r="H18" s="6" t="inlineStr">
        <is>
          <t>2020-11-24</t>
        </is>
      </c>
      <c r="I18" s="7" t="n">
        <v>20560</v>
      </c>
      <c r="J18" s="7" t="n">
        <v>104</v>
      </c>
      <c r="K18" s="7" t="n"/>
      <c r="L18" s="7" t="n"/>
      <c r="M18" s="5" t="n"/>
      <c r="N18" s="5" t="inlineStr">
        <is>
          <t>Long video (&gt;5min)</t>
        </is>
      </c>
      <c r="O18" s="5" t="n"/>
      <c r="P18" s="5" t="n"/>
      <c r="Q18" s="5" t="n"/>
      <c r="R18" s="5" t="n"/>
      <c r="S18" s="5" t="n"/>
      <c r="T18" s="5" t="n"/>
      <c r="U18" s="5" t="n"/>
      <c r="V18" s="5" t="n"/>
      <c r="W18" s="5" t="n"/>
      <c r="X18" s="5" t="n"/>
      <c r="Y18" s="5" t="n"/>
      <c r="Z18" s="5" t="n"/>
      <c r="AA18" s="5" t="n"/>
      <c r="AB18" s="5" t="n"/>
      <c r="AC18" s="5" t="n"/>
      <c r="AD18" s="5" t="n"/>
      <c r="AE18" s="7">
        <f>SUM(O18:V18)</f>
        <v/>
      </c>
      <c r="AF18" s="7">
        <f>SUM(W18:AC18)</f>
        <v/>
      </c>
      <c r="AG18" s="7">
        <f>SUM(O18:AD18)</f>
        <v/>
      </c>
      <c r="AH18" s="5">
        <f>IF(AG18="","",IF(AG18&lt;=26,"Very Poor",IF(AG18&lt;=38,"Poor",IF(AG18&lt;=50,"Fair",IF(AG18&lt;=62,"Good","Excellent")))))</f>
        <v/>
      </c>
      <c r="AI18" s="5" t="n"/>
      <c r="AJ18" s="5" t="n"/>
      <c r="AK18" s="5" t="n"/>
      <c r="AL18" s="5" t="n"/>
      <c r="AM18" s="7">
        <f>COUNTIF(AI18:AL18,"Y")</f>
        <v/>
      </c>
      <c r="AN18" s="5" t="n"/>
    </row>
    <row r="19">
      <c r="A19" s="5" t="inlineStr">
        <is>
          <t>YT-38</t>
        </is>
      </c>
      <c r="B19" s="5" t="inlineStr">
        <is>
          <t>YouTube</t>
        </is>
      </c>
      <c r="C19" s="5" t="inlineStr">
        <is>
          <t>physical activity guidelines</t>
        </is>
      </c>
      <c r="D19" s="5" t="inlineStr">
        <is>
          <t>https://www.youtube.com/watch?v=TG2kHvDs96w</t>
        </is>
      </c>
      <c r="E19" s="5" t="inlineStr">
        <is>
          <t>"New Guidelines for Physical Activity (Steve Ball</t>
        </is>
      </c>
      <c r="F19" s="5" t="inlineStr">
        <is>
          <t>PhD)"</t>
        </is>
      </c>
      <c r="G19" s="5" t="n"/>
      <c r="H19" s="6" t="inlineStr">
        <is>
          <t>MU Health</t>
        </is>
      </c>
      <c r="I19" s="7" t="n"/>
      <c r="J19" s="7" t="n">
        <v>1277</v>
      </c>
      <c r="K19" s="7" t="n"/>
      <c r="L19" s="7" t="n">
        <v>5</v>
      </c>
      <c r="M19" s="5" t="n"/>
      <c r="N19" s="5" t="n"/>
      <c r="O19" s="5" t="n"/>
      <c r="P19" s="5" t="n"/>
      <c r="Q19" s="5" t="n"/>
      <c r="R19" s="5" t="n"/>
      <c r="S19" s="5" t="n"/>
      <c r="T19" s="5" t="n"/>
      <c r="U19" s="5" t="n"/>
      <c r="V19" s="5" t="n"/>
      <c r="W19" s="5" t="n"/>
      <c r="X19" s="5" t="n"/>
      <c r="Y19" s="5" t="n"/>
      <c r="Z19" s="5" t="n"/>
      <c r="AA19" s="5" t="n"/>
      <c r="AB19" s="5" t="n"/>
      <c r="AC19" s="5" t="n"/>
      <c r="AD19" s="5" t="n"/>
      <c r="AE19" s="7">
        <f>SUM(O19:V19)</f>
        <v/>
      </c>
      <c r="AF19" s="7">
        <f>SUM(W19:AC19)</f>
        <v/>
      </c>
      <c r="AG19" s="7">
        <f>SUM(O19:AD19)</f>
        <v/>
      </c>
      <c r="AH19" s="5">
        <f>IF(AG19="","",IF(AG19&lt;=26,"Very Poor",IF(AG19&lt;=38,"Poor",IF(AG19&lt;=50,"Fair",IF(AG19&lt;=62,"Good","Excellent")))))</f>
        <v/>
      </c>
      <c r="AI19" s="5" t="n"/>
      <c r="AJ19" s="5" t="n"/>
      <c r="AK19" s="5" t="n"/>
      <c r="AL19" s="5" t="n"/>
      <c r="AM19" s="7">
        <f>COUNTIF(AI19:AL19,"Y")</f>
        <v/>
      </c>
      <c r="AN19" s="5" t="n"/>
    </row>
    <row r="20">
      <c r="A20" s="5" t="inlineStr">
        <is>
          <t>YT-39</t>
        </is>
      </c>
      <c r="B20" s="5" t="inlineStr">
        <is>
          <t>YouTube</t>
        </is>
      </c>
      <c r="C20" s="5" t="inlineStr">
        <is>
          <t>physical activity guidelines</t>
        </is>
      </c>
      <c r="D20" s="5" t="inlineStr">
        <is>
          <t>https://www.youtube.com/watch?v=_DmBSZC15eo</t>
        </is>
      </c>
      <c r="E20" s="5" t="inlineStr">
        <is>
          <t>Physical activity guidelines that work</t>
        </is>
      </c>
      <c r="F20" s="5" t="inlineStr">
        <is>
          <t>KING 5 Seattle</t>
        </is>
      </c>
      <c r="G20" s="5" t="n"/>
      <c r="H20" s="6" t="inlineStr">
        <is>
          <t>2019-02-02</t>
        </is>
      </c>
      <c r="I20" s="7" t="n">
        <v>94</v>
      </c>
      <c r="J20" s="7" t="n">
        <v>1</v>
      </c>
      <c r="K20" s="7" t="n"/>
      <c r="L20" s="7" t="n"/>
      <c r="M20" s="5" t="n"/>
      <c r="N20" s="5" t="inlineStr">
        <is>
          <t>Long video (&gt;5min)</t>
        </is>
      </c>
      <c r="O20" s="5" t="n"/>
      <c r="P20" s="5" t="n"/>
      <c r="Q20" s="5" t="n"/>
      <c r="R20" s="5" t="n"/>
      <c r="S20" s="5" t="n"/>
      <c r="T20" s="5" t="n"/>
      <c r="U20" s="5" t="n"/>
      <c r="V20" s="5" t="n"/>
      <c r="W20" s="5" t="n"/>
      <c r="X20" s="5" t="n"/>
      <c r="Y20" s="5" t="n"/>
      <c r="Z20" s="5" t="n"/>
      <c r="AA20" s="5" t="n"/>
      <c r="AB20" s="5" t="n"/>
      <c r="AC20" s="5" t="n"/>
      <c r="AD20" s="5" t="n"/>
      <c r="AE20" s="7">
        <f>SUM(O20:V20)</f>
        <v/>
      </c>
      <c r="AF20" s="7">
        <f>SUM(W20:AC20)</f>
        <v/>
      </c>
      <c r="AG20" s="7">
        <f>SUM(O20:AD20)</f>
        <v/>
      </c>
      <c r="AH20" s="5">
        <f>IF(AG20="","",IF(AG20&lt;=26,"Very Poor",IF(AG20&lt;=38,"Poor",IF(AG20&lt;=50,"Fair",IF(AG20&lt;=62,"Good","Excellent")))))</f>
        <v/>
      </c>
      <c r="AI20" s="5" t="n"/>
      <c r="AJ20" s="5" t="n"/>
      <c r="AK20" s="5" t="n"/>
      <c r="AL20" s="5" t="n"/>
      <c r="AM20" s="7">
        <f>COUNTIF(AI20:AL20,"Y")</f>
        <v/>
      </c>
      <c r="AN20" s="5" t="n"/>
    </row>
    <row r="21">
      <c r="A21" s="5" t="inlineStr">
        <is>
          <t>YT-47</t>
        </is>
      </c>
      <c r="B21" s="5" t="inlineStr">
        <is>
          <t>YouTube</t>
        </is>
      </c>
      <c r="C21" s="5" t="inlineStr">
        <is>
          <t>home workout routine</t>
        </is>
      </c>
      <c r="D21" s="5" t="inlineStr">
        <is>
          <t>https://www.youtube.com/watch?v=GViX8riaHX4</t>
        </is>
      </c>
      <c r="E21" s="5" t="inlineStr">
        <is>
          <t>30 Min FULL BODY DUMBBELL WORKOUT at Home | Muscle Building</t>
        </is>
      </c>
      <c r="F21" s="5" t="inlineStr">
        <is>
          <t>Caroline Girvan</t>
        </is>
      </c>
      <c r="G21" s="5" t="n"/>
      <c r="H21" s="6" t="inlineStr">
        <is>
          <t>2020-08-03</t>
        </is>
      </c>
      <c r="I21" s="7" t="n">
        <v>16497410</v>
      </c>
      <c r="J21" s="7" t="n">
        <v>251000</v>
      </c>
      <c r="K21" s="7" t="n"/>
      <c r="L21" s="7" t="n">
        <v>6254</v>
      </c>
      <c r="M21" s="5" t="n"/>
      <c r="N21" s="5" t="inlineStr">
        <is>
          <t>Long video (&gt;5min)</t>
        </is>
      </c>
      <c r="O21" s="5" t="n"/>
      <c r="P21" s="5" t="n"/>
      <c r="Q21" s="5" t="n"/>
      <c r="R21" s="5" t="n"/>
      <c r="S21" s="5" t="n"/>
      <c r="T21" s="5" t="n"/>
      <c r="U21" s="5" t="n"/>
      <c r="V21" s="5" t="n"/>
      <c r="W21" s="5" t="n"/>
      <c r="X21" s="5" t="n"/>
      <c r="Y21" s="5" t="n"/>
      <c r="Z21" s="5" t="n"/>
      <c r="AA21" s="5" t="n"/>
      <c r="AB21" s="5" t="n"/>
      <c r="AC21" s="5" t="n"/>
      <c r="AD21" s="5" t="n"/>
      <c r="AE21" s="7">
        <f>SUM(O21:V21)</f>
        <v/>
      </c>
      <c r="AF21" s="7">
        <f>SUM(W21:AC21)</f>
        <v/>
      </c>
      <c r="AG21" s="7">
        <f>SUM(O21:AD21)</f>
        <v/>
      </c>
      <c r="AH21" s="5">
        <f>IF(AG21="","",IF(AG21&lt;=26,"Very Poor",IF(AG21&lt;=38,"Poor",IF(AG21&lt;=50,"Fair",IF(AG21&lt;=62,"Good","Excellent")))))</f>
        <v/>
      </c>
      <c r="AI21" s="5" t="n"/>
      <c r="AJ21" s="5" t="n"/>
      <c r="AK21" s="5" t="n"/>
      <c r="AL21" s="5" t="n"/>
      <c r="AM21" s="7">
        <f>COUNTIF(AI21:AL21,"Y")</f>
        <v/>
      </c>
      <c r="AN21" s="5" t="n"/>
    </row>
    <row r="22">
      <c r="A22" s="8" t="inlineStr">
        <is>
          <t>TT-13</t>
        </is>
      </c>
      <c r="B22" s="8" t="inlineStr">
        <is>
          <t>TikTok</t>
        </is>
      </c>
      <c r="C22" s="8" t="inlineStr">
        <is>
          <t>best exercises to lose weight</t>
        </is>
      </c>
      <c r="D22" s="8" t="inlineStr">
        <is>
          <t>https://www.tiktok.com/@tallest.ezemba/video/7607542745942576405</t>
        </is>
      </c>
      <c r="E22" s="8" t="inlineStr">
        <is>
          <t>Simple Beginner’s Abs Homeworkout. #exercise #homeworkout #viral #fitness</t>
        </is>
      </c>
      <c r="F22" s="8" t="inlineStr">
        <is>
          <t>Tallest  Ezemba</t>
        </is>
      </c>
      <c r="G22" s="8" t="inlineStr">
        <is>
          <t>"FITNESS MODEL</t>
        </is>
      </c>
      <c r="H22" s="9" t="inlineStr">
        <is>
          <t>VIRTUAL PERSONAL TRAINER</t>
        </is>
      </c>
      <c r="I22" s="10" t="n"/>
      <c r="J22" s="10" t="n"/>
      <c r="K22" s="10" t="n">
        <v>1400000</v>
      </c>
      <c r="L22" s="10" t="n">
        <v>33700</v>
      </c>
      <c r="M22" s="8" t="n"/>
      <c r="N22" s="8" t="inlineStr">
        <is>
          <t>24900</t>
        </is>
      </c>
      <c r="O22" s="8" t="n"/>
      <c r="P22" s="8" t="n"/>
      <c r="Q22" s="8" t="n"/>
      <c r="R22" s="8" t="n"/>
      <c r="S22" s="8" t="n"/>
      <c r="T22" s="8" t="n"/>
      <c r="U22" s="8" t="n"/>
      <c r="V22" s="8" t="n"/>
      <c r="W22" s="8" t="n"/>
      <c r="X22" s="8" t="n"/>
      <c r="Y22" s="8" t="n"/>
      <c r="Z22" s="8" t="n"/>
      <c r="AA22" s="8" t="n"/>
      <c r="AB22" s="8" t="n"/>
      <c r="AC22" s="8" t="n"/>
      <c r="AD22" s="8" t="n"/>
      <c r="AE22" s="10">
        <f>SUM(O22:V22)</f>
        <v/>
      </c>
      <c r="AF22" s="10">
        <f>SUM(W22:AC22)</f>
        <v/>
      </c>
      <c r="AG22" s="10">
        <f>SUM(O22:AD22)</f>
        <v/>
      </c>
      <c r="AH22" s="8">
        <f>IF(AG22="","",IF(AG22&lt;=26,"Very Poor",IF(AG22&lt;=38,"Poor",IF(AG22&lt;=50,"Fair",IF(AG22&lt;=62,"Good","Excellent")))))</f>
        <v/>
      </c>
      <c r="AI22" s="8" t="n"/>
      <c r="AJ22" s="8" t="n"/>
      <c r="AK22" s="8" t="n"/>
      <c r="AL22" s="8" t="n"/>
      <c r="AM22" s="10">
        <f>COUNTIF(AI22:AL22,"Y")</f>
        <v/>
      </c>
      <c r="AN22" s="8" t="n"/>
    </row>
    <row r="23">
      <c r="A23" s="8" t="inlineStr">
        <is>
          <t>TT-15</t>
        </is>
      </c>
      <c r="B23" s="8" t="inlineStr">
        <is>
          <t>TikTok</t>
        </is>
      </c>
      <c r="C23" s="8" t="inlineStr">
        <is>
          <t>best exercises to lose weight</t>
        </is>
      </c>
      <c r="D23" s="8" t="inlineStr">
        <is>
          <t>https://www.tiktok.com/@raw.wisdom/video/7565606266635128086</t>
        </is>
      </c>
      <c r="E23" s="8" t="inlineStr">
        <is>
          <t>No Running. No Dieting. Just Results.#foryou #viralvideos #exercises #Posture #workout #slim #core #belly #gym #gymmotivation #ladiesfitness #fitness #waist #weightloss #flatbellyworkout #backpain #back #shoulderworkout #shoulder #pain</t>
        </is>
      </c>
      <c r="F23" s="8" t="inlineStr">
        <is>
          <t>Raw Wisdom</t>
        </is>
      </c>
      <c r="G23" s="8" t="inlineStr">
        <is>
          <t>Clarity. Drive. Purpose. Daily content to level up your mindset.</t>
        </is>
      </c>
      <c r="H23" s="9" t="inlineStr">
        <is>
          <t>2025-10-26</t>
        </is>
      </c>
      <c r="I23" s="10" t="n">
        <v>714000</v>
      </c>
      <c r="J23" s="10" t="n">
        <v>31600</v>
      </c>
      <c r="K23" s="10" t="n">
        <v>2139</v>
      </c>
      <c r="L23" s="10" t="n">
        <v>278</v>
      </c>
      <c r="M23" s="8" t="n"/>
      <c r="N23" s="8" t="inlineStr">
        <is>
          <t>Short video (&lt;60s)</t>
        </is>
      </c>
      <c r="O23" s="8" t="n"/>
      <c r="P23" s="8" t="n"/>
      <c r="Q23" s="8" t="n"/>
      <c r="R23" s="8" t="n"/>
      <c r="S23" s="8" t="n"/>
      <c r="T23" s="8" t="n"/>
      <c r="U23" s="8" t="n"/>
      <c r="V23" s="8" t="n"/>
      <c r="W23" s="8" t="n"/>
      <c r="X23" s="8" t="n"/>
      <c r="Y23" s="8" t="n"/>
      <c r="Z23" s="8" t="n"/>
      <c r="AA23" s="8" t="n"/>
      <c r="AB23" s="8" t="n"/>
      <c r="AC23" s="8" t="n"/>
      <c r="AD23" s="8" t="n"/>
      <c r="AE23" s="10">
        <f>SUM(O23:V23)</f>
        <v/>
      </c>
      <c r="AF23" s="10">
        <f>SUM(W23:AC23)</f>
        <v/>
      </c>
      <c r="AG23" s="10">
        <f>SUM(O23:AD23)</f>
        <v/>
      </c>
      <c r="AH23" s="8">
        <f>IF(AG23="","",IF(AG23&lt;=26,"Very Poor",IF(AG23&lt;=38,"Poor",IF(AG23&lt;=50,"Fair",IF(AG23&lt;=62,"Good","Excellent")))))</f>
        <v/>
      </c>
      <c r="AI23" s="8" t="n"/>
      <c r="AJ23" s="8" t="n"/>
      <c r="AK23" s="8" t="n"/>
      <c r="AL23" s="8" t="n"/>
      <c r="AM23" s="10">
        <f>COUNTIF(AI23:AL23,"Y")</f>
        <v/>
      </c>
      <c r="AN23" s="8" t="n"/>
    </row>
    <row r="24">
      <c r="A24" s="8" t="inlineStr">
        <is>
          <t>TT-27</t>
        </is>
      </c>
      <c r="B24" s="8" t="inlineStr">
        <is>
          <t>TikTok</t>
        </is>
      </c>
      <c r="C24" s="8" t="inlineStr">
        <is>
          <t>strength training for beginners</t>
        </is>
      </c>
      <c r="D24" s="8" t="inlineStr">
        <is>
          <t>https://www.tiktok.com/@jordan_morgan_/video/7274999521296256288</t>
        </is>
      </c>
      <c r="E24" s="8" t="inlineStr">
        <is>
          <t>"WORKOUT DETAILS DOWN BELOW 👇  The perfect full body beginner workout if you’re new to the gym or training in general and want to ease yourself in slowly! These movements target your lower body</t>
        </is>
      </c>
      <c r="F24" s="8" t="inlineStr">
        <is>
          <t>upper body and core!  Warm up as needed   3 sets:  DB goblet squat x10  Seated shoulder press x10 each side   3 sets:  KB deadlfit x10  Single arm bent over row x10 each side   3 sets:  DB pull through x10-20   Rest as needed throughout the whole workout!   #beginnerworkout #fitnesscoach #personaltrainer"</t>
        </is>
      </c>
      <c r="G24" s="8" t="inlineStr">
        <is>
          <t>Jordan Morgan | Fitness Coach</t>
        </is>
      </c>
      <c r="H24" s="9" t="inlineStr">
        <is>
          <t>✨FITNESS COACH✨ Link down below for coaching enquiries and programs 👇👇👇  Jordan@jordanmorganpt.com</t>
        </is>
      </c>
      <c r="I24" s="10" t="n"/>
      <c r="J24" s="10" t="n">
        <v>9200000</v>
      </c>
      <c r="K24" s="10" t="n">
        <v>402400</v>
      </c>
      <c r="L24" s="10" t="n">
        <v>37500</v>
      </c>
      <c r="M24" s="8" t="n"/>
      <c r="N24" s="8" t="inlineStr">
        <is>
          <t>1482</t>
        </is>
      </c>
      <c r="O24" s="8" t="n"/>
      <c r="P24" s="8" t="n"/>
      <c r="Q24" s="8" t="n"/>
      <c r="R24" s="8" t="n"/>
      <c r="S24" s="8" t="n"/>
      <c r="T24" s="8" t="n"/>
      <c r="U24" s="8" t="n"/>
      <c r="V24" s="8" t="n"/>
      <c r="W24" s="8" t="n"/>
      <c r="X24" s="8" t="n"/>
      <c r="Y24" s="8" t="n"/>
      <c r="Z24" s="8" t="n"/>
      <c r="AA24" s="8" t="n"/>
      <c r="AB24" s="8" t="n"/>
      <c r="AC24" s="8" t="n"/>
      <c r="AD24" s="8" t="n"/>
      <c r="AE24" s="10">
        <f>SUM(O24:V24)</f>
        <v/>
      </c>
      <c r="AF24" s="10">
        <f>SUM(W24:AC24)</f>
        <v/>
      </c>
      <c r="AG24" s="10">
        <f>SUM(O24:AD24)</f>
        <v/>
      </c>
      <c r="AH24" s="8">
        <f>IF(AG24="","",IF(AG24&lt;=26,"Very Poor",IF(AG24&lt;=38,"Poor",IF(AG24&lt;=50,"Fair",IF(AG24&lt;=62,"Good","Excellent")))))</f>
        <v/>
      </c>
      <c r="AI24" s="8" t="n"/>
      <c r="AJ24" s="8" t="n"/>
      <c r="AK24" s="8" t="n"/>
      <c r="AL24" s="8" t="n"/>
      <c r="AM24" s="10">
        <f>COUNTIF(AI24:AL24,"Y")</f>
        <v/>
      </c>
      <c r="AN24" s="8" t="n"/>
    </row>
    <row r="25">
      <c r="A25" s="8" t="inlineStr">
        <is>
          <t>TT-29</t>
        </is>
      </c>
      <c r="B25" s="8" t="inlineStr">
        <is>
          <t>TikTok</t>
        </is>
      </c>
      <c r="C25" s="8" t="inlineStr">
        <is>
          <t>strength training for beginners</t>
        </is>
      </c>
      <c r="D25" s="8" t="inlineStr">
        <is>
          <t>https://www.tiktok.com/@britanywilliams/video/7137809489050324267</t>
        </is>
      </c>
      <c r="E25" s="8" t="inlineStr">
        <is>
          <t>"How to start strength training? Start with simple exercises that target deep core strength</t>
        </is>
      </c>
      <c r="F25" s="8" t="inlineStr">
        <is>
          <t>balance and coordination so you can build proper form and function. Save the heavy lifts for later! #coreengagement #deepcore #beginnerstrengthtraining #beginnerfitness"</t>
        </is>
      </c>
      <c r="G25" s="8" t="inlineStr">
        <is>
          <t>Britany Williams</t>
        </is>
      </c>
      <c r="H25" s="9" t="inlineStr">
        <is>
          <t>A realistic approach to fitness &amp; motherhood.  Get my 20 min dumbbell workout plan</t>
        </is>
      </c>
      <c r="I25" s="10" t="n"/>
      <c r="J25" s="10" t="n">
        <v>6472</v>
      </c>
      <c r="K25" s="10" t="n">
        <v>455</v>
      </c>
      <c r="L25" s="10" t="n">
        <v>8</v>
      </c>
      <c r="M25" s="8" t="n"/>
      <c r="N25" s="8" t="inlineStr">
        <is>
          <t>3</t>
        </is>
      </c>
      <c r="O25" s="8" t="n"/>
      <c r="P25" s="8" t="n"/>
      <c r="Q25" s="8" t="n"/>
      <c r="R25" s="8" t="n"/>
      <c r="S25" s="8" t="n"/>
      <c r="T25" s="8" t="n"/>
      <c r="U25" s="8" t="n"/>
      <c r="V25" s="8" t="n"/>
      <c r="W25" s="8" t="n"/>
      <c r="X25" s="8" t="n"/>
      <c r="Y25" s="8" t="n"/>
      <c r="Z25" s="8" t="n"/>
      <c r="AA25" s="8" t="n"/>
      <c r="AB25" s="8" t="n"/>
      <c r="AC25" s="8" t="n"/>
      <c r="AD25" s="8" t="n"/>
      <c r="AE25" s="10">
        <f>SUM(O25:V25)</f>
        <v/>
      </c>
      <c r="AF25" s="10">
        <f>SUM(W25:AC25)</f>
        <v/>
      </c>
      <c r="AG25" s="10">
        <f>SUM(O25:AD25)</f>
        <v/>
      </c>
      <c r="AH25" s="8">
        <f>IF(AG25="","",IF(AG25&lt;=26,"Very Poor",IF(AG25&lt;=38,"Poor",IF(AG25&lt;=50,"Fair",IF(AG25&lt;=62,"Good","Excellent")))))</f>
        <v/>
      </c>
      <c r="AI25" s="8" t="n"/>
      <c r="AJ25" s="8" t="n"/>
      <c r="AK25" s="8" t="n"/>
      <c r="AL25" s="8" t="n"/>
      <c r="AM25" s="10">
        <f>COUNTIF(AI25:AL25,"Y")</f>
        <v/>
      </c>
      <c r="AN25" s="8" t="n"/>
    </row>
    <row r="26">
      <c r="A26" s="8" t="inlineStr">
        <is>
          <t>TT-35</t>
        </is>
      </c>
      <c r="B26" s="8" t="inlineStr">
        <is>
          <t>TikTok</t>
        </is>
      </c>
      <c r="C26" s="8" t="inlineStr">
        <is>
          <t>physical activity guidelines</t>
        </is>
      </c>
      <c r="D26" s="8" t="inlineStr">
        <is>
          <t>https://www.tiktok.com/@holistichealth.we/video/7459148375594716446</t>
        </is>
      </c>
      <c r="E26" s="8" t="inlineStr">
        <is>
          <t>Physical activity</t>
        </is>
      </c>
      <c r="F26" s="8" t="inlineStr">
        <is>
          <t>HolisticHealth &amp; Wellness</t>
        </is>
      </c>
      <c r="G26" s="8" t="n"/>
      <c r="H26" s="9" t="inlineStr">
        <is>
          <t>2025-01-12</t>
        </is>
      </c>
      <c r="I26" s="10" t="n">
        <v>3612</v>
      </c>
      <c r="J26" s="10" t="n">
        <v>31</v>
      </c>
      <c r="K26" s="10" t="n">
        <v>8</v>
      </c>
      <c r="L26" s="10" t="n">
        <v>2</v>
      </c>
      <c r="M26" s="8" t="n"/>
      <c r="N26" s="8" t="inlineStr">
        <is>
          <t>Short video (&lt;60s)</t>
        </is>
      </c>
      <c r="O26" s="8" t="n"/>
      <c r="P26" s="8" t="n"/>
      <c r="Q26" s="8" t="n"/>
      <c r="R26" s="8" t="n"/>
      <c r="S26" s="8" t="n"/>
      <c r="T26" s="8" t="n"/>
      <c r="U26" s="8" t="n"/>
      <c r="V26" s="8" t="n"/>
      <c r="W26" s="8" t="n"/>
      <c r="X26" s="8" t="n"/>
      <c r="Y26" s="8" t="n"/>
      <c r="Z26" s="8" t="n"/>
      <c r="AA26" s="8" t="n"/>
      <c r="AB26" s="8" t="n"/>
      <c r="AC26" s="8" t="n"/>
      <c r="AD26" s="8" t="n"/>
      <c r="AE26" s="10">
        <f>SUM(O26:V26)</f>
        <v/>
      </c>
      <c r="AF26" s="10">
        <f>SUM(W26:AC26)</f>
        <v/>
      </c>
      <c r="AG26" s="10">
        <f>SUM(O26:AD26)</f>
        <v/>
      </c>
      <c r="AH26" s="8">
        <f>IF(AG26="","",IF(AG26&lt;=26,"Very Poor",IF(AG26&lt;=38,"Poor",IF(AG26&lt;=50,"Fair",IF(AG26&lt;=62,"Good","Excellent")))))</f>
        <v/>
      </c>
      <c r="AI26" s="8" t="n"/>
      <c r="AJ26" s="8" t="n"/>
      <c r="AK26" s="8" t="n"/>
      <c r="AL26" s="8" t="n"/>
      <c r="AM26" s="10">
        <f>COUNTIF(AI26:AL26,"Y")</f>
        <v/>
      </c>
      <c r="AN26" s="8" t="n"/>
    </row>
    <row r="27">
      <c r="A27" s="8" t="inlineStr">
        <is>
          <t>TT-36</t>
        </is>
      </c>
      <c r="B27" s="8" t="inlineStr">
        <is>
          <t>TikTok</t>
        </is>
      </c>
      <c r="C27" s="8" t="inlineStr">
        <is>
          <t>physical activity guidelines</t>
        </is>
      </c>
      <c r="D27" s="8" t="inlineStr">
        <is>
          <t>https://www.tiktok.com/@jacbfoods/video/7564931369701281054</t>
        </is>
      </c>
      <c r="E27" s="8" t="inlineStr">
        <is>
          <t>#greenscreen are the guidelines the problem?</t>
        </is>
      </c>
      <c r="F27" s="8" t="inlineStr">
        <is>
          <t>JacobFoods | Nutrition</t>
        </is>
      </c>
      <c r="G27" s="8" t="inlineStr">
        <is>
          <t>"MS Dietetics</t>
        </is>
      </c>
      <c r="H27" s="9" t="inlineStr">
        <is>
          <t>RD2B. Former ""primal bro"" who escaped disordered eating and got educated. WORK WITH ME 1 ON 1 ⬇️"</t>
        </is>
      </c>
      <c r="I27" s="10" t="n"/>
      <c r="J27" s="10" t="n">
        <v>5614</v>
      </c>
      <c r="K27" s="10" t="n">
        <v>389</v>
      </c>
      <c r="L27" s="10" t="n">
        <v>4</v>
      </c>
      <c r="M27" s="8" t="n"/>
      <c r="N27" s="8" t="inlineStr">
        <is>
          <t>19</t>
        </is>
      </c>
      <c r="O27" s="8" t="n"/>
      <c r="P27" s="8" t="n"/>
      <c r="Q27" s="8" t="n"/>
      <c r="R27" s="8" t="n"/>
      <c r="S27" s="8" t="n"/>
      <c r="T27" s="8" t="n"/>
      <c r="U27" s="8" t="n"/>
      <c r="V27" s="8" t="n"/>
      <c r="W27" s="8" t="n"/>
      <c r="X27" s="8" t="n"/>
      <c r="Y27" s="8" t="n"/>
      <c r="Z27" s="8" t="n"/>
      <c r="AA27" s="8" t="n"/>
      <c r="AB27" s="8" t="n"/>
      <c r="AC27" s="8" t="n"/>
      <c r="AD27" s="8" t="n"/>
      <c r="AE27" s="10">
        <f>SUM(O27:V27)</f>
        <v/>
      </c>
      <c r="AF27" s="10">
        <f>SUM(W27:AC27)</f>
        <v/>
      </c>
      <c r="AG27" s="10">
        <f>SUM(O27:AD27)</f>
        <v/>
      </c>
      <c r="AH27" s="8">
        <f>IF(AG27="","",IF(AG27&lt;=26,"Very Poor",IF(AG27&lt;=38,"Poor",IF(AG27&lt;=50,"Fair",IF(AG27&lt;=62,"Good","Excellent")))))</f>
        <v/>
      </c>
      <c r="AI27" s="8" t="n"/>
      <c r="AJ27" s="8" t="n"/>
      <c r="AK27" s="8" t="n"/>
      <c r="AL27" s="8" t="n"/>
      <c r="AM27" s="10">
        <f>COUNTIF(AI27:AL27,"Y")</f>
        <v/>
      </c>
      <c r="AN27" s="8" t="n"/>
    </row>
    <row r="28">
      <c r="A28" s="8" t="inlineStr">
        <is>
          <t>TT-38</t>
        </is>
      </c>
      <c r="B28" s="8" t="inlineStr">
        <is>
          <t>TikTok</t>
        </is>
      </c>
      <c r="C28" s="8" t="inlineStr">
        <is>
          <t>physical activity guidelines</t>
        </is>
      </c>
      <c r="D28" s="8" t="inlineStr">
        <is>
          <t>https://www.tiktok.com/@geniusauladkubangkerian/video/7535813135165328658</t>
        </is>
      </c>
      <c r="E28" s="8" t="inlineStr">
        <is>
          <t>5 ANDALUS: PHYSICAL ACTIVITY!  Physical activity - Follow the instructions 👏  #geniusauladkubangkerian  #gogenius  #preschool #5andalus #lessonbeyondclassroom</t>
        </is>
      </c>
      <c r="F28" s="8" t="inlineStr">
        <is>
          <t>geniusauladkubangkerian</t>
        </is>
      </c>
      <c r="G28" s="8" t="inlineStr">
        <is>
          <t>Genius Aulad Kubang Kerian Playschool.Preschool 0196370185 for any inquiries ☺️</t>
        </is>
      </c>
      <c r="H28" s="9" t="inlineStr">
        <is>
          <t>2025-08-07</t>
        </is>
      </c>
      <c r="I28" s="10" t="n">
        <v>28400</v>
      </c>
      <c r="J28" s="10" t="n">
        <v>362</v>
      </c>
      <c r="K28" s="10" t="n">
        <v>212</v>
      </c>
      <c r="L28" s="10" t="n">
        <v>1</v>
      </c>
      <c r="M28" s="8" t="n"/>
      <c r="N28" s="8" t="inlineStr">
        <is>
          <t>Short video (&lt;60s)</t>
        </is>
      </c>
      <c r="O28" s="8" t="n"/>
      <c r="P28" s="8" t="n"/>
      <c r="Q28" s="8" t="n"/>
      <c r="R28" s="8" t="n"/>
      <c r="S28" s="8" t="n"/>
      <c r="T28" s="8" t="n"/>
      <c r="U28" s="8" t="n"/>
      <c r="V28" s="8" t="n"/>
      <c r="W28" s="8" t="n"/>
      <c r="X28" s="8" t="n"/>
      <c r="Y28" s="8" t="n"/>
      <c r="Z28" s="8" t="n"/>
      <c r="AA28" s="8" t="n"/>
      <c r="AB28" s="8" t="n"/>
      <c r="AC28" s="8" t="n"/>
      <c r="AD28" s="8" t="n"/>
      <c r="AE28" s="10">
        <f>SUM(O28:V28)</f>
        <v/>
      </c>
      <c r="AF28" s="10">
        <f>SUM(W28:AC28)</f>
        <v/>
      </c>
      <c r="AG28" s="10">
        <f>SUM(O28:AD28)</f>
        <v/>
      </c>
      <c r="AH28" s="8">
        <f>IF(AG28="","",IF(AG28&lt;=26,"Very Poor",IF(AG28&lt;=38,"Poor",IF(AG28&lt;=50,"Fair",IF(AG28&lt;=62,"Good","Excellent")))))</f>
        <v/>
      </c>
      <c r="AI28" s="8" t="n"/>
      <c r="AJ28" s="8" t="n"/>
      <c r="AK28" s="8" t="n"/>
      <c r="AL28" s="8" t="n"/>
      <c r="AM28" s="10">
        <f>COUNTIF(AI28:AL28,"Y")</f>
        <v/>
      </c>
      <c r="AN28" s="8" t="n"/>
    </row>
    <row r="29">
      <c r="A29" s="8" t="inlineStr">
        <is>
          <t>TT-42</t>
        </is>
      </c>
      <c r="B29" s="8" t="inlineStr">
        <is>
          <t>TikTok</t>
        </is>
      </c>
      <c r="C29" s="8" t="inlineStr">
        <is>
          <t>home workout routine</t>
        </is>
      </c>
      <c r="D29" s="8" t="inlineStr">
        <is>
          <t>https://www.tiktok.com/@justtcocoo/video/7606595556332391694</t>
        </is>
      </c>
      <c r="E29" s="8" t="inlineStr">
        <is>
          <t>Strength x pilates 6 week challenge starts MONDAY!! Who’s ready?! Full workout in my bio! #fullbodyworkout #homeworkout #workoutmotivation #pilates #workoutsforwomen</t>
        </is>
      </c>
      <c r="F29" s="8" t="inlineStr">
        <is>
          <t>Courteney Fisher</t>
        </is>
      </c>
      <c r="G29" s="8" t="inlineStr">
        <is>
          <t>The Strength x Pilates Coach Creator of Fit with Coco STRENGTH X PILATES 6 WEEK CHALLENGE👇</t>
        </is>
      </c>
      <c r="H29" s="9" t="inlineStr">
        <is>
          <t>2026-02-14</t>
        </is>
      </c>
      <c r="I29" s="10" t="n">
        <v>1400000</v>
      </c>
      <c r="J29" s="10" t="n">
        <v>50600</v>
      </c>
      <c r="K29" s="10" t="n">
        <v>12400</v>
      </c>
      <c r="L29" s="10" t="n">
        <v>139</v>
      </c>
      <c r="M29" s="8" t="n"/>
      <c r="N29" s="8" t="inlineStr">
        <is>
          <t>Short video (&lt;60s)</t>
        </is>
      </c>
      <c r="O29" s="8" t="n"/>
      <c r="P29" s="8" t="n"/>
      <c r="Q29" s="8" t="n"/>
      <c r="R29" s="8" t="n"/>
      <c r="S29" s="8" t="n"/>
      <c r="T29" s="8" t="n"/>
      <c r="U29" s="8" t="n"/>
      <c r="V29" s="8" t="n"/>
      <c r="W29" s="8" t="n"/>
      <c r="X29" s="8" t="n"/>
      <c r="Y29" s="8" t="n"/>
      <c r="Z29" s="8" t="n"/>
      <c r="AA29" s="8" t="n"/>
      <c r="AB29" s="8" t="n"/>
      <c r="AC29" s="8" t="n"/>
      <c r="AD29" s="8" t="n"/>
      <c r="AE29" s="10">
        <f>SUM(O29:V29)</f>
        <v/>
      </c>
      <c r="AF29" s="10">
        <f>SUM(W29:AC29)</f>
        <v/>
      </c>
      <c r="AG29" s="10">
        <f>SUM(O29:AD29)</f>
        <v/>
      </c>
      <c r="AH29" s="8">
        <f>IF(AG29="","",IF(AG29&lt;=26,"Very Poor",IF(AG29&lt;=38,"Poor",IF(AG29&lt;=50,"Fair",IF(AG29&lt;=62,"Good","Excellent")))))</f>
        <v/>
      </c>
      <c r="AI29" s="8" t="n"/>
      <c r="AJ29" s="8" t="n"/>
      <c r="AK29" s="8" t="n"/>
      <c r="AL29" s="8" t="n"/>
      <c r="AM29" s="10">
        <f>COUNTIF(AI29:AL29,"Y")</f>
        <v/>
      </c>
      <c r="AN29" s="8" t="n"/>
    </row>
    <row r="30">
      <c r="A30" s="8" t="inlineStr">
        <is>
          <t>TT-45</t>
        </is>
      </c>
      <c r="B30" s="8" t="inlineStr">
        <is>
          <t>TikTok</t>
        </is>
      </c>
      <c r="C30" s="8" t="inlineStr">
        <is>
          <t>home workout routine</t>
        </is>
      </c>
      <c r="D30" s="8" t="inlineStr">
        <is>
          <t>https://www.tiktok.com/@sashalusslover/video/7606362521041194262</t>
        </is>
      </c>
      <c r="E30" s="8" t="inlineStr">
        <is>
          <t>the workoutsplit for toned legs at home!! remember about rest days💗 hoodie: @SCUFFERS #tonedlegs #legsworkout #workoutsplit #athomeworkout #creatorsearchinsights</t>
        </is>
      </c>
      <c r="F30" s="8" t="inlineStr">
        <is>
          <t>🧘🏼‍♀️🎀</t>
        </is>
      </c>
      <c r="G30" s="8" t="inlineStr">
        <is>
          <t>Pilates Girl | Fitness &amp; Wellness 💌: collabnikolaspilates@gmail.com            full vids on YT angel 💕✨</t>
        </is>
      </c>
      <c r="H30" s="9" t="inlineStr">
        <is>
          <t>2026-02-13</t>
        </is>
      </c>
      <c r="I30" s="10" t="n">
        <v>441100</v>
      </c>
      <c r="J30" s="10" t="n">
        <v>29100</v>
      </c>
      <c r="K30" s="10" t="n">
        <v>916</v>
      </c>
      <c r="L30" s="10" t="n">
        <v>223</v>
      </c>
      <c r="M30" s="8" t="n"/>
      <c r="N30" s="8" t="inlineStr">
        <is>
          <t>Short video (&lt;60s)</t>
        </is>
      </c>
      <c r="O30" s="8" t="n"/>
      <c r="P30" s="8" t="n"/>
      <c r="Q30" s="8" t="n"/>
      <c r="R30" s="8" t="n"/>
      <c r="S30" s="8" t="n"/>
      <c r="T30" s="8" t="n"/>
      <c r="U30" s="8" t="n"/>
      <c r="V30" s="8" t="n"/>
      <c r="W30" s="8" t="n"/>
      <c r="X30" s="8" t="n"/>
      <c r="Y30" s="8" t="n"/>
      <c r="Z30" s="8" t="n"/>
      <c r="AA30" s="8" t="n"/>
      <c r="AB30" s="8" t="n"/>
      <c r="AC30" s="8" t="n"/>
      <c r="AD30" s="8" t="n"/>
      <c r="AE30" s="10">
        <f>SUM(O30:V30)</f>
        <v/>
      </c>
      <c r="AF30" s="10">
        <f>SUM(W30:AC30)</f>
        <v/>
      </c>
      <c r="AG30" s="10">
        <f>SUM(O30:AD30)</f>
        <v/>
      </c>
      <c r="AH30" s="8">
        <f>IF(AG30="","",IF(AG30&lt;=26,"Very Poor",IF(AG30&lt;=38,"Poor",IF(AG30&lt;=50,"Fair",IF(AG30&lt;=62,"Good","Excellent")))))</f>
        <v/>
      </c>
      <c r="AI30" s="8" t="n"/>
      <c r="AJ30" s="8" t="n"/>
      <c r="AK30" s="8" t="n"/>
      <c r="AL30" s="8" t="n"/>
      <c r="AM30" s="10">
        <f>COUNTIF(AI30:AL30,"Y")</f>
        <v/>
      </c>
      <c r="AN30" s="8" t="n"/>
    </row>
    <row r="31">
      <c r="A31" s="8" t="inlineStr">
        <is>
          <t>TT-46</t>
        </is>
      </c>
      <c r="B31" s="8" t="inlineStr">
        <is>
          <t>TikTok</t>
        </is>
      </c>
      <c r="C31" s="8" t="inlineStr">
        <is>
          <t>home workout routine</t>
        </is>
      </c>
      <c r="D31" s="8" t="inlineStr">
        <is>
          <t>https://www.tiktok.com/@ccristina_fit/video/7607839990176943390</t>
        </is>
      </c>
      <c r="E31" s="8" t="inlineStr">
        <is>
          <t>"TWO dumbbell-only full body workouts + ONE deep core workout 💖  I get it! As a busy mom</t>
        </is>
      </c>
      <c r="F31" s="8" t="inlineStr">
        <is>
          <t>spending hours in the gym may not be possible but if you have a pair of dumbbells</t>
        </is>
      </c>
      <c r="G31" s="8" t="inlineStr">
        <is>
          <t>you can do this routine at home. 🙌  I LOVE the deep core day designed to strengthen your transverse abdominis (deep core) which acts like a deep</t>
        </is>
      </c>
      <c r="H31" s="9" t="inlineStr">
        <is>
          <t>internal “corset” to stabilize the spine</t>
        </is>
      </c>
      <c r="I31" s="10" t="n"/>
      <c r="J31" s="10" t="n"/>
      <c r="K31" s="10" t="n"/>
      <c r="L31" s="10" t="n"/>
      <c r="M31" s="8" t="n"/>
      <c r="N31" s="8" t="inlineStr">
        <is>
          <t>2026-02-17T14:25:35.000Z</t>
        </is>
      </c>
      <c r="O31" s="8" t="n"/>
      <c r="P31" s="8" t="n"/>
      <c r="Q31" s="8" t="n"/>
      <c r="R31" s="8" t="n"/>
      <c r="S31" s="8" t="n"/>
      <c r="T31" s="8" t="n"/>
      <c r="U31" s="8" t="n"/>
      <c r="V31" s="8" t="n"/>
      <c r="W31" s="8" t="n"/>
      <c r="X31" s="8" t="n"/>
      <c r="Y31" s="8" t="n"/>
      <c r="Z31" s="8" t="n"/>
      <c r="AA31" s="8" t="n"/>
      <c r="AB31" s="8" t="n"/>
      <c r="AC31" s="8" t="n"/>
      <c r="AD31" s="8" t="n"/>
      <c r="AE31" s="10">
        <f>SUM(O31:V31)</f>
        <v/>
      </c>
      <c r="AF31" s="10">
        <f>SUM(W31:AC31)</f>
        <v/>
      </c>
      <c r="AG31" s="10">
        <f>SUM(O31:AD31)</f>
        <v/>
      </c>
      <c r="AH31" s="8">
        <f>IF(AG31="","",IF(AG31&lt;=26,"Very Poor",IF(AG31&lt;=38,"Poor",IF(AG31&lt;=50,"Fair",IF(AG31&lt;=62,"Good","Excellent")))))</f>
        <v/>
      </c>
      <c r="AI31" s="8" t="n"/>
      <c r="AJ31" s="8" t="n"/>
      <c r="AK31" s="8" t="n"/>
      <c r="AL31" s="8" t="n"/>
      <c r="AM31" s="10">
        <f>COUNTIF(AI31:AL31,"Y")</f>
        <v/>
      </c>
      <c r="AN31" s="8" t="n"/>
    </row>
    <row r="32">
      <c r="A32" s="11" t="inlineStr">
        <is>
          <t>IG-01</t>
        </is>
      </c>
      <c r="B32" s="11" t="inlineStr">
        <is>
          <t>Instagram</t>
        </is>
      </c>
      <c r="C32" s="11" t="inlineStr">
        <is>
          <t>how to start exercising</t>
        </is>
      </c>
      <c r="D32" s="11" t="inlineStr">
        <is>
          <t>https://www.instagram.com/p/DTN3lPlFMeo/</t>
        </is>
      </c>
      <c r="E32" s="11" t="inlineStr">
        <is>
          <t>Soooo true. I can’t explain it, but that’s how it works. 🤷🏾‍♀️  #startexercising  #starttoday  #moreenergy  #feelstronger #bettersleep</t>
        </is>
      </c>
      <c r="F32" s="11" t="inlineStr">
        <is>
          <t>FitlifewithTheresa</t>
        </is>
      </c>
      <c r="G32" s="11" t="n"/>
      <c r="H32" s="12" t="inlineStr">
        <is>
          <t>2026-01-07</t>
        </is>
      </c>
      <c r="I32" s="13" t="n"/>
      <c r="J32" s="13" t="n">
        <v>2</v>
      </c>
      <c r="K32" s="13" t="n"/>
      <c r="L32" s="13" t="n"/>
      <c r="M32" s="11" t="n"/>
      <c r="N32" s="11" t="inlineStr">
        <is>
          <t>Carousel</t>
        </is>
      </c>
      <c r="O32" s="11" t="n"/>
      <c r="P32" s="11" t="n"/>
      <c r="Q32" s="11" t="n"/>
      <c r="R32" s="11" t="n"/>
      <c r="S32" s="11" t="n"/>
      <c r="T32" s="11" t="n"/>
      <c r="U32" s="11" t="n"/>
      <c r="V32" s="11" t="n"/>
      <c r="W32" s="11" t="n"/>
      <c r="X32" s="11" t="n"/>
      <c r="Y32" s="11" t="n"/>
      <c r="Z32" s="11" t="n"/>
      <c r="AA32" s="11" t="n"/>
      <c r="AB32" s="11" t="n"/>
      <c r="AC32" s="11" t="n"/>
      <c r="AD32" s="11" t="n"/>
      <c r="AE32" s="13">
        <f>SUM(O32:V32)</f>
        <v/>
      </c>
      <c r="AF32" s="13">
        <f>SUM(W32:AC32)</f>
        <v/>
      </c>
      <c r="AG32" s="13">
        <f>SUM(O32:AD32)</f>
        <v/>
      </c>
      <c r="AH32" s="11">
        <f>IF(AG32="","",IF(AG32&lt;=26,"Very Poor",IF(AG32&lt;=38,"Poor",IF(AG32&lt;=50,"Fair",IF(AG32&lt;=62,"Good","Excellent")))))</f>
        <v/>
      </c>
      <c r="AI32" s="11" t="n"/>
      <c r="AJ32" s="11" t="n"/>
      <c r="AK32" s="11" t="n"/>
      <c r="AL32" s="11" t="n"/>
      <c r="AM32" s="13">
        <f>COUNTIF(AI32:AL32,"Y")</f>
        <v/>
      </c>
      <c r="AN32" s="11" t="n"/>
    </row>
    <row r="33">
      <c r="A33" s="11" t="inlineStr">
        <is>
          <t>IG-10</t>
        </is>
      </c>
      <c r="B33" s="11" t="inlineStr">
        <is>
          <t>Instagram</t>
        </is>
      </c>
      <c r="C33" s="11" t="inlineStr">
        <is>
          <t>how to start exercising</t>
        </is>
      </c>
      <c r="D33" s="11" t="inlineStr">
        <is>
          <t>https://www.instagram.com/p/DQMbW1cCLdR/</t>
        </is>
      </c>
      <c r="E33" s="11" t="inlineStr">
        <is>
          <t>🟢Σε οτι αφορά την φυσική μας κατασταση ,ο καθενας εχει εναν στοχο. Αν δεν υπαρχει στόχος, υπαρχει πρόβλημα.  Ακόμα και η διατήρηση της κατάστασης μας ,χρειαζεται έργο-συνεπεια-προσπαθεια.  🫵οποιοσδήποτε και αν ειναι ο στόχος σου ,κανένας δεν μπορει να σε αποθαρρύνει εκτός απο τον ιδιο σου τον εαυτό.-  ⚪️Το να ξεκινήσεις ειναι ΕΠΙΛΟΓΗ σου ,το να συνεχίσεις ΕΠΙΛΟΓΗ σου ,το να τα παρατήσεις ειναιΕΠΙΛΟΓΗ σου,το να προσπαθήσεις ειναι ΕΠΙΛΟΓΗ σου.-  🟢Για περισσότερους τρόπους και βίντεο  εκγύμνασης</t>
        </is>
      </c>
      <c r="F33" s="11" t="inlineStr">
        <is>
          <t>Well Vibe</t>
        </is>
      </c>
      <c r="G33" s="11" t="n"/>
      <c r="H33" s="12" t="inlineStr">
        <is>
          <t>2025-10-24</t>
        </is>
      </c>
      <c r="I33" s="13" t="n"/>
      <c r="J33" s="13" t="n">
        <v>11</v>
      </c>
      <c r="K33" s="13" t="n"/>
      <c r="L33" s="13" t="n">
        <v>1</v>
      </c>
      <c r="M33" s="11" t="n"/>
      <c r="N33" s="11" t="inlineStr">
        <is>
          <t>Carousel</t>
        </is>
      </c>
      <c r="O33" s="11" t="n"/>
      <c r="P33" s="11" t="n"/>
      <c r="Q33" s="11" t="n"/>
      <c r="R33" s="11" t="n"/>
      <c r="S33" s="11" t="n"/>
      <c r="T33" s="11" t="n"/>
      <c r="U33" s="11" t="n"/>
      <c r="V33" s="11" t="n"/>
      <c r="W33" s="11" t="n"/>
      <c r="X33" s="11" t="n"/>
      <c r="Y33" s="11" t="n"/>
      <c r="Z33" s="11" t="n"/>
      <c r="AA33" s="11" t="n"/>
      <c r="AB33" s="11" t="n"/>
      <c r="AC33" s="11" t="n"/>
      <c r="AD33" s="11" t="n"/>
      <c r="AE33" s="13">
        <f>SUM(O33:V33)</f>
        <v/>
      </c>
      <c r="AF33" s="13">
        <f>SUM(W33:AC33)</f>
        <v/>
      </c>
      <c r="AG33" s="13">
        <f>SUM(O33:AD33)</f>
        <v/>
      </c>
      <c r="AH33" s="11">
        <f>IF(AG33="","",IF(AG33&lt;=26,"Very Poor",IF(AG33&lt;=38,"Poor",IF(AG33&lt;=50,"Fair",IF(AG33&lt;=62,"Good","Excellent")))))</f>
        <v/>
      </c>
      <c r="AI33" s="11" t="n"/>
      <c r="AJ33" s="11" t="n"/>
      <c r="AK33" s="11" t="n"/>
      <c r="AL33" s="11" t="n"/>
      <c r="AM33" s="13">
        <f>COUNTIF(AI33:AL33,"Y")</f>
        <v/>
      </c>
      <c r="AN33" s="11" t="n"/>
    </row>
    <row r="34">
      <c r="A34" s="11" t="inlineStr">
        <is>
          <t>IG-11</t>
        </is>
      </c>
      <c r="B34" s="11" t="inlineStr">
        <is>
          <t>Instagram</t>
        </is>
      </c>
      <c r="C34" s="11" t="inlineStr">
        <is>
          <t>best exercises to lose weight</t>
        </is>
      </c>
      <c r="D34" s="11" t="inlineStr">
        <is>
          <t>https://www.instagram.com/p/DVbMNNsjjEI/</t>
        </is>
      </c>
      <c r="E34" s="11" t="inlineStr">
        <is>
          <t>Nobody sees the early mornings!!!⁠ Nobody sees the discipline!⁠ Nobody sees the small decisions stacking up!⁠ ⁠ But your BODY does.⁠ ⁠ Your MIND does.⁠ ⁠ Every drop of sweat is a reminder that you chose EFFORT over excuses.⁠ ⁠ And as a woman who carries a lot — responsibility, pressure, expectations —⁠ moving your body is power.⁠ ⁠ It’s not punishment.⁠ It’s ownership baby⁠ ⁠ ⁠ #confidence #weightlosstips #weightlossworkout #healthylifestyle #fitnesspost</t>
        </is>
      </c>
      <c r="F34" s="11" t="inlineStr">
        <is>
          <t>Fitness Rx 🏋🏼‍♀️ Fitness for Every Level</t>
        </is>
      </c>
      <c r="G34" s="11" t="n"/>
      <c r="H34" s="12" t="inlineStr">
        <is>
          <t>2026-03-03</t>
        </is>
      </c>
      <c r="I34" s="13" t="n"/>
      <c r="J34" s="13" t="n">
        <v>3</v>
      </c>
      <c r="K34" s="13" t="n"/>
      <c r="L34" s="13" t="n"/>
      <c r="M34" s="11" t="n"/>
      <c r="N34" s="11" t="inlineStr">
        <is>
          <t>Carousel</t>
        </is>
      </c>
      <c r="O34" s="11" t="n"/>
      <c r="P34" s="11" t="n"/>
      <c r="Q34" s="11" t="n"/>
      <c r="R34" s="11" t="n"/>
      <c r="S34" s="11" t="n"/>
      <c r="T34" s="11" t="n"/>
      <c r="U34" s="11" t="n"/>
      <c r="V34" s="11" t="n"/>
      <c r="W34" s="11" t="n"/>
      <c r="X34" s="11" t="n"/>
      <c r="Y34" s="11" t="n"/>
      <c r="Z34" s="11" t="n"/>
      <c r="AA34" s="11" t="n"/>
      <c r="AB34" s="11" t="n"/>
      <c r="AC34" s="11" t="n"/>
      <c r="AD34" s="11" t="n"/>
      <c r="AE34" s="13">
        <f>SUM(O34:V34)</f>
        <v/>
      </c>
      <c r="AF34" s="13">
        <f>SUM(W34:AC34)</f>
        <v/>
      </c>
      <c r="AG34" s="13">
        <f>SUM(O34:AD34)</f>
        <v/>
      </c>
      <c r="AH34" s="11">
        <f>IF(AG34="","",IF(AG34&lt;=26,"Very Poor",IF(AG34&lt;=38,"Poor",IF(AG34&lt;=50,"Fair",IF(AG34&lt;=62,"Good","Excellent")))))</f>
        <v/>
      </c>
      <c r="AI34" s="11" t="n"/>
      <c r="AJ34" s="11" t="n"/>
      <c r="AK34" s="11" t="n"/>
      <c r="AL34" s="11" t="n"/>
      <c r="AM34" s="13">
        <f>COUNTIF(AI34:AL34,"Y")</f>
        <v/>
      </c>
      <c r="AN34" s="11" t="n"/>
    </row>
    <row r="35">
      <c r="A35" s="11" t="inlineStr">
        <is>
          <t>IG-14</t>
        </is>
      </c>
      <c r="B35" s="11" t="inlineStr">
        <is>
          <t>Instagram</t>
        </is>
      </c>
      <c r="C35" s="11" t="inlineStr">
        <is>
          <t>best exercises to lose weight</t>
        </is>
      </c>
      <c r="D35" s="11" t="inlineStr">
        <is>
          <t>https://www.instagram.com/p/DVYEiqZmfWR/</t>
        </is>
      </c>
      <c r="E35" s="11" t="inlineStr">
        <is>
          <t>SOOOOO .. I don’t believe in staying comfortable. 😛⁠ ⁠ Comfort is cute for a Sunday afternoon.⁠ It’s not cute for your goals!!!⁠ ⁠ Growth requires FRICTION.⁠ It requires you doing the thing you don’t FEEL like doing.⁠ It requires you lifting the weight you’re unsure about.⁠ ⁠ And here’s what I’ve learned — in business and in the gym:⁠ ⁠ The version of you that’s praying for more?⁠ She’s on the OTHER side of discomfort.⁠ ⁠ So when it gets hard… good!!! (I say this all the time lol)⁠ That means y</t>
        </is>
      </c>
      <c r="F35" s="11" t="inlineStr">
        <is>
          <t>Fitness Rx 🏋🏼‍♀️ Fitness for Every Level</t>
        </is>
      </c>
      <c r="G35" s="11" t="n"/>
      <c r="H35" s="12" t="inlineStr">
        <is>
          <t>2026-03-02</t>
        </is>
      </c>
      <c r="I35" s="13" t="n"/>
      <c r="J35" s="13" t="n">
        <v>5</v>
      </c>
      <c r="K35" s="13" t="n"/>
      <c r="L35" s="13" t="n"/>
      <c r="M35" s="11" t="n"/>
      <c r="N35" s="11" t="inlineStr">
        <is>
          <t>Carousel</t>
        </is>
      </c>
      <c r="O35" s="11" t="n"/>
      <c r="P35" s="11" t="n"/>
      <c r="Q35" s="11" t="n"/>
      <c r="R35" s="11" t="n"/>
      <c r="S35" s="11" t="n"/>
      <c r="T35" s="11" t="n"/>
      <c r="U35" s="11" t="n"/>
      <c r="V35" s="11" t="n"/>
      <c r="W35" s="11" t="n"/>
      <c r="X35" s="11" t="n"/>
      <c r="Y35" s="11" t="n"/>
      <c r="Z35" s="11" t="n"/>
      <c r="AA35" s="11" t="n"/>
      <c r="AB35" s="11" t="n"/>
      <c r="AC35" s="11" t="n"/>
      <c r="AD35" s="11" t="n"/>
      <c r="AE35" s="13">
        <f>SUM(O35:V35)</f>
        <v/>
      </c>
      <c r="AF35" s="13">
        <f>SUM(W35:AC35)</f>
        <v/>
      </c>
      <c r="AG35" s="13">
        <f>SUM(O35:AD35)</f>
        <v/>
      </c>
      <c r="AH35" s="11">
        <f>IF(AG35="","",IF(AG35&lt;=26,"Very Poor",IF(AG35&lt;=38,"Poor",IF(AG35&lt;=50,"Fair",IF(AG35&lt;=62,"Good","Excellent")))))</f>
        <v/>
      </c>
      <c r="AI35" s="11" t="n"/>
      <c r="AJ35" s="11" t="n"/>
      <c r="AK35" s="11" t="n"/>
      <c r="AL35" s="11" t="n"/>
      <c r="AM35" s="13">
        <f>COUNTIF(AI35:AL35,"Y")</f>
        <v/>
      </c>
      <c r="AN35" s="11" t="n"/>
    </row>
    <row r="36">
      <c r="A36" s="11" t="inlineStr">
        <is>
          <t>IG-18</t>
        </is>
      </c>
      <c r="B36" s="11" t="inlineStr">
        <is>
          <t>Instagram</t>
        </is>
      </c>
      <c r="C36" s="11" t="inlineStr">
        <is>
          <t>best exercises to lose weight</t>
        </is>
      </c>
      <c r="D36" s="11" t="inlineStr">
        <is>
          <t>https://www.instagram.com/p/DVPbLMrgFA9/</t>
        </is>
      </c>
      <c r="E36" s="11" t="inlineStr">
        <is>
          <t>“I actually enjoy waking up early.”⁠ ⁠ Read that again.⁠ ⁠ A grown woman with responsibilities (kids, work etc)⁠ choosing to wake up early… to lift weights.⁠ ⁠ Because she feels better after.⁠ Because she’s proud after!!!⁠ Because soreness hits different when it’s earned. 🌅🔥⁠ and because she's obviously a queen 👑⁠ ⁠ ⁠ #confidence #weightlosstips #weightlossworkout #healthylifestyle #fitnesspost</t>
        </is>
      </c>
      <c r="F36" s="11" t="inlineStr">
        <is>
          <t>Fitness Rx 🏋🏼‍♀️ Fitness for Every Level</t>
        </is>
      </c>
      <c r="G36" s="11" t="n"/>
      <c r="H36" s="12" t="inlineStr">
        <is>
          <t>2026-02-27</t>
        </is>
      </c>
      <c r="I36" s="13" t="n"/>
      <c r="J36" s="13" t="n">
        <v>2</v>
      </c>
      <c r="K36" s="13" t="n"/>
      <c r="L36" s="13" t="n">
        <v>1</v>
      </c>
      <c r="M36" s="11" t="n"/>
      <c r="N36" s="11" t="inlineStr">
        <is>
          <t>Carousel</t>
        </is>
      </c>
      <c r="O36" s="11" t="n"/>
      <c r="P36" s="11" t="n"/>
      <c r="Q36" s="11" t="n"/>
      <c r="R36" s="11" t="n"/>
      <c r="S36" s="11" t="n"/>
      <c r="T36" s="11" t="n"/>
      <c r="U36" s="11" t="n"/>
      <c r="V36" s="11" t="n"/>
      <c r="W36" s="11" t="n"/>
      <c r="X36" s="11" t="n"/>
      <c r="Y36" s="11" t="n"/>
      <c r="Z36" s="11" t="n"/>
      <c r="AA36" s="11" t="n"/>
      <c r="AB36" s="11" t="n"/>
      <c r="AC36" s="11" t="n"/>
      <c r="AD36" s="11" t="n"/>
      <c r="AE36" s="13">
        <f>SUM(O36:V36)</f>
        <v/>
      </c>
      <c r="AF36" s="13">
        <f>SUM(W36:AC36)</f>
        <v/>
      </c>
      <c r="AG36" s="13">
        <f>SUM(O36:AD36)</f>
        <v/>
      </c>
      <c r="AH36" s="11">
        <f>IF(AG36="","",IF(AG36&lt;=26,"Very Poor",IF(AG36&lt;=38,"Poor",IF(AG36&lt;=50,"Fair",IF(AG36&lt;=62,"Good","Excellent")))))</f>
        <v/>
      </c>
      <c r="AI36" s="11" t="n"/>
      <c r="AJ36" s="11" t="n"/>
      <c r="AK36" s="11" t="n"/>
      <c r="AL36" s="11" t="n"/>
      <c r="AM36" s="13">
        <f>COUNTIF(AI36:AL36,"Y")</f>
        <v/>
      </c>
      <c r="AN36" s="11" t="n"/>
    </row>
    <row r="37">
      <c r="A37" s="11" t="inlineStr">
        <is>
          <t>IG-22</t>
        </is>
      </c>
      <c r="B37" s="11" t="inlineStr">
        <is>
          <t>Instagram</t>
        </is>
      </c>
      <c r="C37" s="11" t="inlineStr">
        <is>
          <t>strength training for beginners</t>
        </is>
      </c>
      <c r="D37" s="11" t="inlineStr">
        <is>
          <t>https://www.instagram.com/p/DVPmtu7gZUc/</t>
        </is>
      </c>
      <c r="E37" s="11" t="inlineStr">
        <is>
          <t>It’s the end of February.  Be honest…  How are those New Year’s resolutions going?  If you joined a cheap box gym in January, you’re not alone. They absolutely serve a purpose. They provide access and affordability.  But here’s the real question:  Have you seen progress?  Or have you: • Walked on the treadmill a few times • Done a couple random machines • Skipped days because you weren’t sure what to do • Slowly started going less  Most people don’t fail because they’re lazy. They fail because t</t>
        </is>
      </c>
      <c r="F37" s="11" t="inlineStr">
        <is>
          <t>Farrell’s - Maple Grove</t>
        </is>
      </c>
      <c r="G37" s="11" t="n"/>
      <c r="H37" s="12" t="inlineStr">
        <is>
          <t>2026-02-27</t>
        </is>
      </c>
      <c r="I37" s="13" t="n"/>
      <c r="J37" s="13" t="n">
        <v>8</v>
      </c>
      <c r="K37" s="13" t="n"/>
      <c r="L37" s="13" t="n">
        <v>1</v>
      </c>
      <c r="M37" s="11" t="n"/>
      <c r="N37" s="11" t="inlineStr">
        <is>
          <t>Carousel</t>
        </is>
      </c>
      <c r="O37" s="11" t="n"/>
      <c r="P37" s="11" t="n"/>
      <c r="Q37" s="11" t="n"/>
      <c r="R37" s="11" t="n"/>
      <c r="S37" s="11" t="n"/>
      <c r="T37" s="11" t="n"/>
      <c r="U37" s="11" t="n"/>
      <c r="V37" s="11" t="n"/>
      <c r="W37" s="11" t="n"/>
      <c r="X37" s="11" t="n"/>
      <c r="Y37" s="11" t="n"/>
      <c r="Z37" s="11" t="n"/>
      <c r="AA37" s="11" t="n"/>
      <c r="AB37" s="11" t="n"/>
      <c r="AC37" s="11" t="n"/>
      <c r="AD37" s="11" t="n"/>
      <c r="AE37" s="13">
        <f>SUM(O37:V37)</f>
        <v/>
      </c>
      <c r="AF37" s="13">
        <f>SUM(W37:AC37)</f>
        <v/>
      </c>
      <c r="AG37" s="13">
        <f>SUM(O37:AD37)</f>
        <v/>
      </c>
      <c r="AH37" s="11">
        <f>IF(AG37="","",IF(AG37&lt;=26,"Very Poor",IF(AG37&lt;=38,"Poor",IF(AG37&lt;=50,"Fair",IF(AG37&lt;=62,"Good","Excellent")))))</f>
        <v/>
      </c>
      <c r="AI37" s="11" t="n"/>
      <c r="AJ37" s="11" t="n"/>
      <c r="AK37" s="11" t="n"/>
      <c r="AL37" s="11" t="n"/>
      <c r="AM37" s="13">
        <f>COUNTIF(AI37:AL37,"Y")</f>
        <v/>
      </c>
      <c r="AN37" s="11" t="n"/>
    </row>
    <row r="38">
      <c r="A38" s="11" t="inlineStr">
        <is>
          <t>IG-28</t>
        </is>
      </c>
      <c r="B38" s="11" t="inlineStr">
        <is>
          <t>Instagram</t>
        </is>
      </c>
      <c r="C38" s="11" t="inlineStr">
        <is>
          <t>strength training for beginners</t>
        </is>
      </c>
      <c r="D38" s="11" t="inlineStr">
        <is>
          <t>https://www.instagram.com/p/DUjIe0Hkb6Z/</t>
        </is>
      </c>
      <c r="E38" s="11" t="inlineStr">
        <is>
          <t>Most people think they need to feel ready, strong, or pain-free before they begin strength training.  In reality, confidence usually comes after you start — especially when you’re properly supported.  Our Intro to Strength Training programme is designed to help you begin safely, build confidence gradually, and feel supported every step of the way.  👉 If the email landed in your inbox today, this is your sign to read it.  Not on our email list? Comment 'STRENGTH' for more information  LFR | Guis</t>
        </is>
      </c>
      <c r="F38" s="11" t="inlineStr">
        <is>
          <t>Laura Franklin Rehab</t>
        </is>
      </c>
      <c r="G38" s="11" t="n"/>
      <c r="H38" s="12" t="inlineStr">
        <is>
          <t>2026-02-09</t>
        </is>
      </c>
      <c r="I38" s="13" t="n"/>
      <c r="J38" s="13" t="n">
        <v>17</v>
      </c>
      <c r="K38" s="13" t="n"/>
      <c r="L38" s="13" t="n"/>
      <c r="M38" s="11" t="n"/>
      <c r="N38" s="11" t="inlineStr">
        <is>
          <t>Carousel</t>
        </is>
      </c>
      <c r="O38" s="11" t="n"/>
      <c r="P38" s="11" t="n"/>
      <c r="Q38" s="11" t="n"/>
      <c r="R38" s="11" t="n"/>
      <c r="S38" s="11" t="n"/>
      <c r="T38" s="11" t="n"/>
      <c r="U38" s="11" t="n"/>
      <c r="V38" s="11" t="n"/>
      <c r="W38" s="11" t="n"/>
      <c r="X38" s="11" t="n"/>
      <c r="Y38" s="11" t="n"/>
      <c r="Z38" s="11" t="n"/>
      <c r="AA38" s="11" t="n"/>
      <c r="AB38" s="11" t="n"/>
      <c r="AC38" s="11" t="n"/>
      <c r="AD38" s="11" t="n"/>
      <c r="AE38" s="13">
        <f>SUM(O38:V38)</f>
        <v/>
      </c>
      <c r="AF38" s="13">
        <f>SUM(W38:AC38)</f>
        <v/>
      </c>
      <c r="AG38" s="13">
        <f>SUM(O38:AD38)</f>
        <v/>
      </c>
      <c r="AH38" s="11">
        <f>IF(AG38="","",IF(AG38&lt;=26,"Very Poor",IF(AG38&lt;=38,"Poor",IF(AG38&lt;=50,"Fair",IF(AG38&lt;=62,"Good","Excellent")))))</f>
        <v/>
      </c>
      <c r="AI38" s="11" t="n"/>
      <c r="AJ38" s="11" t="n"/>
      <c r="AK38" s="11" t="n"/>
      <c r="AL38" s="11" t="n"/>
      <c r="AM38" s="13">
        <f>COUNTIF(AI38:AL38,"Y")</f>
        <v/>
      </c>
      <c r="AN38" s="11" t="n"/>
    </row>
    <row r="39">
      <c r="A39" s="11" t="inlineStr">
        <is>
          <t>IG-45</t>
        </is>
      </c>
      <c r="B39" s="11" t="inlineStr">
        <is>
          <t>Instagram</t>
        </is>
      </c>
      <c r="C39" s="11" t="inlineStr">
        <is>
          <t>home workout routine</t>
        </is>
      </c>
      <c r="D39" s="11" t="inlineStr">
        <is>
          <t>https://www.instagram.com/p/DVbXrzUjhiV/</t>
        </is>
      </c>
      <c r="E39" s="11" t="n"/>
      <c r="F39" s="11" t="inlineStr">
        <is>
          <t>Acero Gym</t>
        </is>
      </c>
      <c r="G39" s="11" t="n"/>
      <c r="H39" s="12" t="inlineStr">
        <is>
          <t>2026-03-03</t>
        </is>
      </c>
      <c r="I39" s="13" t="n"/>
      <c r="J39" s="13" t="n"/>
      <c r="K39" s="13" t="n"/>
      <c r="L39" s="13" t="n">
        <v>1</v>
      </c>
      <c r="M39" s="11" t="n"/>
      <c r="N39" s="11" t="inlineStr">
        <is>
          <t>Carousel</t>
        </is>
      </c>
      <c r="O39" s="11" t="n"/>
      <c r="P39" s="11" t="n"/>
      <c r="Q39" s="11" t="n"/>
      <c r="R39" s="11" t="n"/>
      <c r="S39" s="11" t="n"/>
      <c r="T39" s="11" t="n"/>
      <c r="U39" s="11" t="n"/>
      <c r="V39" s="11" t="n"/>
      <c r="W39" s="11" t="n"/>
      <c r="X39" s="11" t="n"/>
      <c r="Y39" s="11" t="n"/>
      <c r="Z39" s="11" t="n"/>
      <c r="AA39" s="11" t="n"/>
      <c r="AB39" s="11" t="n"/>
      <c r="AC39" s="11" t="n"/>
      <c r="AD39" s="11" t="n"/>
      <c r="AE39" s="13">
        <f>SUM(O39:V39)</f>
        <v/>
      </c>
      <c r="AF39" s="13">
        <f>SUM(W39:AC39)</f>
        <v/>
      </c>
      <c r="AG39" s="13">
        <f>SUM(O39:AD39)</f>
        <v/>
      </c>
      <c r="AH39" s="11">
        <f>IF(AG39="","",IF(AG39&lt;=26,"Very Poor",IF(AG39&lt;=38,"Poor",IF(AG39&lt;=50,"Fair",IF(AG39&lt;=62,"Good","Excellent")))))</f>
        <v/>
      </c>
      <c r="AI39" s="11" t="n"/>
      <c r="AJ39" s="11" t="n"/>
      <c r="AK39" s="11" t="n"/>
      <c r="AL39" s="11" t="n"/>
      <c r="AM39" s="13">
        <f>COUNTIF(AI39:AL39,"Y")</f>
        <v/>
      </c>
      <c r="AN39" s="11" t="n"/>
    </row>
    <row r="40">
      <c r="A40" s="11" t="inlineStr">
        <is>
          <t>IG-47</t>
        </is>
      </c>
      <c r="B40" s="11" t="inlineStr">
        <is>
          <t>Instagram</t>
        </is>
      </c>
      <c r="C40" s="11" t="inlineStr">
        <is>
          <t>home workout routine</t>
        </is>
      </c>
      <c r="D40" s="11" t="inlineStr">
        <is>
          <t>https://www.instagram.com/p/DVbVAj7iEdp/</t>
        </is>
      </c>
      <c r="E40" s="11" t="inlineStr">
        <is>
          <t>You don’t need another diet—you need education, structure, and support. That’s what I provide for Arizona fitness and nutrition clients.  #fitnesstips #fitlife #fitnessgoals #fitnessvideo #fitstagram #workouttips #workoutgoals #fitnessmotivation #healthyhabits #workoutroutine #fitnesscoach #workoutideas #homeworkout</t>
        </is>
      </c>
      <c r="F40" s="11" t="inlineStr">
        <is>
          <t>Personalized Fitness, Nutrition &amp; Yoga : Certified Trainers</t>
        </is>
      </c>
      <c r="G40" s="11" t="n"/>
      <c r="H40" s="12" t="inlineStr">
        <is>
          <t>2026-03-03</t>
        </is>
      </c>
      <c r="I40" s="13" t="n"/>
      <c r="J40" s="13" t="n"/>
      <c r="K40" s="13" t="n"/>
      <c r="L40" s="13" t="n"/>
      <c r="M40" s="11" t="n"/>
      <c r="N40" s="11" t="inlineStr">
        <is>
          <t>Carousel</t>
        </is>
      </c>
      <c r="O40" s="11" t="n"/>
      <c r="P40" s="11" t="n"/>
      <c r="Q40" s="11" t="n"/>
      <c r="R40" s="11" t="n"/>
      <c r="S40" s="11" t="n"/>
      <c r="T40" s="11" t="n"/>
      <c r="U40" s="11" t="n"/>
      <c r="V40" s="11" t="n"/>
      <c r="W40" s="11" t="n"/>
      <c r="X40" s="11" t="n"/>
      <c r="Y40" s="11" t="n"/>
      <c r="Z40" s="11" t="n"/>
      <c r="AA40" s="11" t="n"/>
      <c r="AB40" s="11" t="n"/>
      <c r="AC40" s="11" t="n"/>
      <c r="AD40" s="11" t="n"/>
      <c r="AE40" s="13">
        <f>SUM(O40:V40)</f>
        <v/>
      </c>
      <c r="AF40" s="13">
        <f>SUM(W40:AC40)</f>
        <v/>
      </c>
      <c r="AG40" s="13">
        <f>SUM(O40:AD40)</f>
        <v/>
      </c>
      <c r="AH40" s="11">
        <f>IF(AG40="","",IF(AG40&lt;=26,"Very Poor",IF(AG40&lt;=38,"Poor",IF(AG40&lt;=50,"Fair",IF(AG40&lt;=62,"Good","Excellent")))))</f>
        <v/>
      </c>
      <c r="AI40" s="11" t="n"/>
      <c r="AJ40" s="11" t="n"/>
      <c r="AK40" s="11" t="n"/>
      <c r="AL40" s="11" t="n"/>
      <c r="AM40" s="13">
        <f>COUNTIF(AI40:AL40,"Y")</f>
        <v/>
      </c>
      <c r="AN40" s="11" t="n"/>
    </row>
    <row r="41">
      <c r="A41" s="11" t="inlineStr">
        <is>
          <t>IG-50</t>
        </is>
      </c>
      <c r="B41" s="11" t="inlineStr">
        <is>
          <t>Instagram</t>
        </is>
      </c>
      <c r="C41" s="11" t="inlineStr">
        <is>
          <t>home workout routine</t>
        </is>
      </c>
      <c r="D41" s="11" t="inlineStr">
        <is>
          <t>https://www.instagram.com/p/DVbTjN_DcnY/</t>
        </is>
      </c>
      <c r="E41" s="11" t="inlineStr">
        <is>
          <t>Another Full body workout in the books.  Set up another routine so I'm not repeating the same exercises I did yesterday. . Also did my weigh in this morning and I've lost 3 lbs (hopefully belly fat 😂) . Today goes out to @brandyn_wayne  . . . . . . . . . . . . . #homeworkout #homegym #gymgeek #gymlife #fitness</t>
        </is>
      </c>
      <c r="F41" s="11" t="inlineStr">
        <is>
          <t>JFrostyb</t>
        </is>
      </c>
      <c r="G41" s="11" t="n"/>
      <c r="H41" s="12" t="inlineStr">
        <is>
          <t>2026-03-03</t>
        </is>
      </c>
      <c r="I41" s="13" t="n"/>
      <c r="J41" s="13" t="n"/>
      <c r="K41" s="13" t="n"/>
      <c r="L41" s="13" t="n">
        <v>1</v>
      </c>
      <c r="M41" s="11" t="n"/>
      <c r="N41" s="11" t="inlineStr">
        <is>
          <t>Carousel</t>
        </is>
      </c>
      <c r="O41" s="11" t="n"/>
      <c r="P41" s="11" t="n"/>
      <c r="Q41" s="11" t="n"/>
      <c r="R41" s="11" t="n"/>
      <c r="S41" s="11" t="n"/>
      <c r="T41" s="11" t="n"/>
      <c r="U41" s="11" t="n"/>
      <c r="V41" s="11" t="n"/>
      <c r="W41" s="11" t="n"/>
      <c r="X41" s="11" t="n"/>
      <c r="Y41" s="11" t="n"/>
      <c r="Z41" s="11" t="n"/>
      <c r="AA41" s="11" t="n"/>
      <c r="AB41" s="11" t="n"/>
      <c r="AC41" s="11" t="n"/>
      <c r="AD41" s="11" t="n"/>
      <c r="AE41" s="13">
        <f>SUM(O41:V41)</f>
        <v/>
      </c>
      <c r="AF41" s="13">
        <f>SUM(W41:AC41)</f>
        <v/>
      </c>
      <c r="AG41" s="13">
        <f>SUM(O41:AD41)</f>
        <v/>
      </c>
      <c r="AH41" s="11">
        <f>IF(AG41="","",IF(AG41&lt;=26,"Very Poor",IF(AG41&lt;=38,"Poor",IF(AG41&lt;=50,"Fair",IF(AG41&lt;=62,"Good","Excellent")))))</f>
        <v/>
      </c>
      <c r="AI41" s="11" t="n"/>
      <c r="AJ41" s="11" t="n"/>
      <c r="AK41" s="11" t="n"/>
      <c r="AL41" s="11" t="n"/>
      <c r="AM41" s="13">
        <f>COUNTIF(AI41:AL41,"Y")</f>
        <v/>
      </c>
      <c r="AN41" s="11" t="n"/>
    </row>
  </sheetData>
  <conditionalFormatting sqref="AH2:AH41">
    <cfRule type="cellIs" priority="1" operator="equal" dxfId="0">
      <formula>"Very Poor"</formula>
    </cfRule>
    <cfRule type="cellIs" priority="2" operator="equal" dxfId="1">
      <formula>"Poor"</formula>
    </cfRule>
    <cfRule type="cellIs" priority="3" operator="equal" dxfId="2">
      <formula>"Fair"</formula>
    </cfRule>
    <cfRule type="cellIs" priority="4" operator="equal" dxfId="3">
      <formula>"Good"</formula>
    </cfRule>
    <cfRule type="cellIs" priority="5" operator="equal" dxfId="4">
      <formula>"Excellent"</formula>
    </cfRule>
  </conditionalFormatting>
  <conditionalFormatting sqref="AG2:AG41">
    <cfRule type="colorScale" priority="6">
      <colorScale>
        <cfvo type="num" val="16"/>
        <cfvo type="num" val="48"/>
        <cfvo type="num" val="80"/>
        <color rgb="00FF0000"/>
        <color rgb="00FFD700"/>
        <color rgb="00228B22"/>
      </colorScale>
    </cfRule>
  </conditionalFormatting>
  <conditionalFormatting sqref="AM2:AM41">
    <cfRule type="colorScale" priority="7">
      <colorScale>
        <cfvo type="num" val="0"/>
        <cfvo type="num" val="2"/>
        <cfvo type="num" val="4"/>
        <color rgb="00FF0000"/>
        <color rgb="00FFD700"/>
        <color rgb="00228B22"/>
      </colorScale>
    </cfRule>
  </conditionalFormatting>
  <dataValidations count="4">
    <dataValidation sqref="M2:M41" showDropDown="0" showInputMessage="1" showErrorMessage="1" allowBlank="1" errorTitle="Invalid Creator Type" error="Please select a valid Creator Type" promptTitle="Creator Type" prompt="Select the creator type" type="list">
      <formula1>"Healthcare professional,Certified fitness professional,Fitness influencer,General user,Organization"</formula1>
    </dataValidation>
    <dataValidation sqref="N2:N41" showDropDown="0" showInputMessage="1" showErrorMessage="1" allowBlank="1" errorTitle="Invalid Content Format" error="Please select a valid Content Format" promptTitle="Content Format" prompt="Select the content format" type="list">
      <formula1>"Text article,Long video (&gt;5min),Short video (&lt;60s),Image+caption,Carousel"</formula1>
    </dataValidation>
    <dataValidation sqref="O2:O41 P2:P41 Q2:Q41 R2:R41 S2:S41 T2:T41 U2:U41 V2:V41 W2:W41 X2:X41 Y2:Y41 Z2:Z41 AA2:AA41 AB2:AB41 AC2:AC41 AD2:AD41" showDropDown="0" showInputMessage="1" showErrorMessage="1" allowBlank="1" errorTitle="Invalid DISCERN Score" error="Please enter a value between 1 and 5" promptTitle="DISCERN Rating" prompt="Rate 1 (No) to 5 (Yes)" type="list">
      <formula1>"1,2,3,4,5"</formula1>
    </dataValidation>
    <dataValidation sqref="AI2:AI41 AJ2:AJ41 AK2:AK41 AL2:AL41" showDropDown="0" showInputMessage="1" showErrorMessage="1" allowBlank="1" errorTitle="Invalid Entry" error="Please enter Y or N" promptTitle="JAMA Benchmark" prompt="Enter Y (Yes) or N (No)"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2026-02-26T12:05:46Z</dcterms:created>
  <dcterms:modified xmlns:dcterms="http://purl.org/dc/terms/" xmlns:xsi="http://www.w3.org/2001/XMLSchema-instance" xsi:type="dcterms:W3CDTF">2026-03-10T02:52:29Z</dcterms:modified>
</cp:coreProperties>
</file>